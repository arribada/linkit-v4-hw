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urn\Altium\AD25\Projects\Arribada\linkit-v4-hw\Project Outputs for linkit-v4-hw\smd-variant\linkit-v4-smd-v1.1\linkit-v4-smd-v1.1-varD\BOM\"/>
    </mc:Choice>
  </mc:AlternateContent>
  <xr:revisionPtr revIDLastSave="0" documentId="13_ncr:1_{F4E21C94-DEFD-49DE-8CD7-C1CC41569A8B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5" i="1" l="1"/>
  <c r="K84" i="1"/>
  <c r="K83" i="1"/>
  <c r="K82" i="1"/>
  <c r="K81" i="1"/>
  <c r="K79" i="1"/>
  <c r="K77" i="1"/>
  <c r="K76" i="1"/>
  <c r="K74" i="1"/>
  <c r="K73" i="1"/>
  <c r="K72" i="1"/>
  <c r="K71" i="1"/>
  <c r="K70" i="1"/>
  <c r="K68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0" i="1"/>
  <c r="K49" i="1"/>
  <c r="K48" i="1"/>
  <c r="K47" i="1"/>
  <c r="K46" i="1"/>
  <c r="K44" i="1"/>
  <c r="K43" i="1"/>
  <c r="K42" i="1"/>
  <c r="K41" i="1"/>
  <c r="K39" i="1"/>
  <c r="K38" i="1"/>
  <c r="K37" i="1"/>
  <c r="K36" i="1"/>
  <c r="K35" i="1"/>
  <c r="K34" i="1"/>
  <c r="K33" i="1"/>
  <c r="K32" i="1"/>
  <c r="K31" i="1"/>
  <c r="K29" i="1"/>
  <c r="K28" i="1"/>
  <c r="K27" i="1"/>
  <c r="K25" i="1"/>
  <c r="K24" i="1"/>
  <c r="K23" i="1"/>
  <c r="K21" i="1"/>
  <c r="K19" i="1"/>
  <c r="K15" i="1"/>
  <c r="K14" i="1"/>
  <c r="K13" i="1"/>
  <c r="K85" i="1" l="1"/>
</calcChain>
</file>

<file path=xl/sharedStrings.xml><?xml version="1.0" encoding="utf-8"?>
<sst xmlns="http://schemas.openxmlformats.org/spreadsheetml/2006/main" count="521" uniqueCount="341">
  <si>
    <t>Bill of Materials</t>
  </si>
  <si>
    <t>Project Title:</t>
  </si>
  <si>
    <t>Bill of Materials for Variant [linkit-v4-smd-no-charger] of BOM Document [linkit-v4-hw.BomDoc] - lignes fusionnees par Manufacturer Part Number</t>
  </si>
  <si>
    <t>Project File Name:</t>
  </si>
  <si>
    <t>linkit-v4-hw.PrjPcb</t>
  </si>
  <si>
    <t>https://arribada.org/</t>
  </si>
  <si>
    <t>https://github.com/arribada</t>
  </si>
  <si>
    <t xml:space="preserve">Assembly Variant: </t>
  </si>
  <si>
    <t>linkit-v4-smd-no-charger</t>
  </si>
  <si>
    <t>contact@arribada.org</t>
  </si>
  <si>
    <t>Cell Block Studios</t>
  </si>
  <si>
    <t>College Rd</t>
  </si>
  <si>
    <t>Portsmouth, PO1 3LJ</t>
  </si>
  <si>
    <t>Part Number</t>
  </si>
  <si>
    <t>Description</t>
  </si>
  <si>
    <t>Designator</t>
  </si>
  <si>
    <t>Manufacture</t>
  </si>
  <si>
    <t>Manufacture Part Number</t>
  </si>
  <si>
    <t>Supplier</t>
  </si>
  <si>
    <t>Supplier Part Number</t>
  </si>
  <si>
    <t>Supplier Unit Price</t>
  </si>
  <si>
    <t>Quantity</t>
  </si>
  <si>
    <t>Total Price</t>
  </si>
  <si>
    <t>DesignItemId</t>
  </si>
  <si>
    <t>Manufacturer 1</t>
  </si>
  <si>
    <t>Manufacturer Part Number 1</t>
  </si>
  <si>
    <t>Supplier 1</t>
  </si>
  <si>
    <t>Supplier Part Number 1</t>
  </si>
  <si>
    <t>Supplier Unit Price 1</t>
  </si>
  <si>
    <t>RELOWABLE_BATTERY_MS421R</t>
  </si>
  <si>
    <t>SEIKO Reflowable Lithium Batteries</t>
  </si>
  <si>
    <t>BT1</t>
  </si>
  <si>
    <t>Seiko</t>
  </si>
  <si>
    <t>MS621R-II27E</t>
  </si>
  <si>
    <t>Arrow Electronics</t>
  </si>
  <si>
    <t>GRM155R61E105KE11D</t>
  </si>
  <si>
    <t>Multilayer Ceramic Capacitors MLCC - SMD/SMT 1 uF 25 VDC 10% 0402 X5R</t>
  </si>
  <si>
    <t>C1, C21</t>
  </si>
  <si>
    <t>Murata</t>
  </si>
  <si>
    <t>GCM188R71C105KA64D</t>
  </si>
  <si>
    <t>Multilayer Ceramic Capacitors MLCC - SMD/SMT 1 uF 16 VDC 10% 0603 X7R AEC-Q200</t>
  </si>
  <si>
    <t>C2, C44</t>
  </si>
  <si>
    <t>Mouser</t>
  </si>
  <si>
    <t>81-GCM188R71C105K64D</t>
  </si>
  <si>
    <t>GRM188R61A226ME15D</t>
  </si>
  <si>
    <t>Multilayer Ceramic Capacitors MLCC - SMD/SMT 22 uF 10 VDC 20% 0603 X5R</t>
  </si>
  <si>
    <t>CAP CER 100NF 0201 35V 10% X5R</t>
  </si>
  <si>
    <t>C3, C4, C6</t>
  </si>
  <si>
    <t>GRM033R6YA104KE14D</t>
  </si>
  <si>
    <t>81-GRM33R6YA104KE14D</t>
  </si>
  <si>
    <t>YFF15PC0J105MT000N</t>
  </si>
  <si>
    <t>Filter</t>
  </si>
  <si>
    <t>C5, C7</t>
  </si>
  <si>
    <t>GRM155R71C104KA88D</t>
  </si>
  <si>
    <t>Multilayer Ceramic Capacitors MLCC - SMD/SMT 0.1 uF 16 VDC 10% 0402 X7R</t>
  </si>
  <si>
    <t>C8, C10, C22, C46</t>
  </si>
  <si>
    <t>81-GRM155R71C104KA88</t>
  </si>
  <si>
    <t>GRM155Z71A105KE01J</t>
  </si>
  <si>
    <t>Multilayer Ceramic Capacitors MLCC - SMD/SMT 1.0UF 10V 10% 0402</t>
  </si>
  <si>
    <t>C9, C11, C45, C59</t>
  </si>
  <si>
    <t>81-GRM155Z71A105KE1J</t>
  </si>
  <si>
    <t>CL03A105KP3NSNC</t>
  </si>
  <si>
    <t>Multilayer Ceramic Capacitors MLCC - SMD/SMT 1uF+/-10% 10V X5R 06 0201</t>
  </si>
  <si>
    <t>C17</t>
  </si>
  <si>
    <t>Semco</t>
  </si>
  <si>
    <t>187-CL03A105KP3NSNC</t>
  </si>
  <si>
    <t>GRM033Z71C104KE14D</t>
  </si>
  <si>
    <t>Multilayer Ceramic Capacitors MLCC - SMD/SMT .1UF     16V   10%        0201</t>
  </si>
  <si>
    <t>C18, C37, C38, C39, C40</t>
  </si>
  <si>
    <t>81-GRM033Z71C104KE4D</t>
  </si>
  <si>
    <t>GRM31CR61A107MEA8L</t>
  </si>
  <si>
    <t>Multilayer Ceramic Capacitors MLCC - SMD/SMT 100 uF 10 VDC 20% 1206 X5R</t>
  </si>
  <si>
    <t>C19</t>
  </si>
  <si>
    <t>GRM155R61A106ME11D</t>
  </si>
  <si>
    <t>Multilayer Ceramic Capacitors MLCC - SMD/SMT 10 uF 10 VDC 20% 0402 X5R</t>
  </si>
  <si>
    <t>C20</t>
  </si>
  <si>
    <t>GRM188R61A106MAALJ</t>
  </si>
  <si>
    <t>Multilayer Ceramic Capacitors MLCC - SMD/SMT 10 uF 10 VDC 20% 0603 X5R</t>
  </si>
  <si>
    <t>C52, C55, C61</t>
  </si>
  <si>
    <t>GRM188R61E106KA73D</t>
  </si>
  <si>
    <t>Future Electronics</t>
  </si>
  <si>
    <t>GRM155R61H105ME05J</t>
  </si>
  <si>
    <t>Multilayer Ceramic Capacitors MLCC - SMD/SMT 1 uF 50 VDC 20% 0402 X5R</t>
  </si>
  <si>
    <t>C58</t>
  </si>
  <si>
    <t>RB751S40</t>
  </si>
  <si>
    <t>Schottky Diodes &amp; Rectifiers 40V,Schottky,SOD-523,0.3A</t>
  </si>
  <si>
    <t>D1</t>
  </si>
  <si>
    <t>onsemi</t>
  </si>
  <si>
    <t>RB751S40T1G</t>
  </si>
  <si>
    <t>863-RB751S40T1G</t>
  </si>
  <si>
    <t>LED RGB 0603 2MA</t>
  </si>
  <si>
    <t>D2, D3</t>
  </si>
  <si>
    <t>Kingbright</t>
  </si>
  <si>
    <t>APHF1608LSEEQBDZGKC</t>
  </si>
  <si>
    <t>604-APHF1608LQBDZGKC</t>
  </si>
  <si>
    <t>PMEG4005EJ</t>
  </si>
  <si>
    <t>Schottky Diodes &amp; Rectifiers</t>
  </si>
  <si>
    <t>D4</t>
  </si>
  <si>
    <t>Nexperia</t>
  </si>
  <si>
    <t>PMEG4005EJ,115</t>
  </si>
  <si>
    <t>PMEG4010CEAX</t>
  </si>
  <si>
    <t>Diode</t>
  </si>
  <si>
    <t>D6</t>
  </si>
  <si>
    <t>ESD9L5.0ST5GH</t>
  </si>
  <si>
    <t>D7, D8</t>
  </si>
  <si>
    <t>ESD9L5.0ST5G</t>
  </si>
  <si>
    <t>BLM18AG102SN1D</t>
  </si>
  <si>
    <t>Ferrite Bead - 1000 OHM 25%</t>
  </si>
  <si>
    <t>FB2, FB3, FB4, FB6</t>
  </si>
  <si>
    <t>81-BLM11A102S</t>
  </si>
  <si>
    <t>BC020-03-A-0200-0300-L-G</t>
  </si>
  <si>
    <t>Connector</t>
  </si>
  <si>
    <t>J3, J14</t>
  </si>
  <si>
    <t>Global Connector Technology</t>
  </si>
  <si>
    <t>Newark</t>
  </si>
  <si>
    <t>USB4215-03-A_REVA</t>
  </si>
  <si>
    <t>USB Connectors USB C Receptacle, Short Body, USB2.0, 16Pin, Horizontal, SMT</t>
  </si>
  <si>
    <t>J4</t>
  </si>
  <si>
    <t>USB4215-03-A</t>
  </si>
  <si>
    <t>640-USB4215-03-A</t>
  </si>
  <si>
    <t>DF52-12S-0.8H_21_</t>
  </si>
  <si>
    <t>Headers &amp; Wire Housings Recep 12P R/A 0.8mm Pitch</t>
  </si>
  <si>
    <t>J6</t>
  </si>
  <si>
    <t>HIROSE ELECTRIC</t>
  </si>
  <si>
    <t>DF52-12S-0.8H(21)</t>
  </si>
  <si>
    <t>798-DF52-12S-0.8H21</t>
  </si>
  <si>
    <t>PRT-14417</t>
  </si>
  <si>
    <t>QWIIC JST CONNECTOR - SMD 4-PIN</t>
  </si>
  <si>
    <t>J9</t>
  </si>
  <si>
    <t>SparkFun</t>
  </si>
  <si>
    <t>474-PRT-14417</t>
  </si>
  <si>
    <t>U.FL-R-SMT-1_10_</t>
  </si>
  <si>
    <t>UFL SMT PCB receptable,DC-6GHz Hirose Straight 50 Surface Mount UFL Connector, Receptacle, Solder Termination Coaxial</t>
  </si>
  <si>
    <t>J11</t>
  </si>
  <si>
    <t>U.FL-R-SMT-1(10)</t>
  </si>
  <si>
    <t>798-U.FL-R-SMT-110</t>
  </si>
  <si>
    <t>744232090</t>
  </si>
  <si>
    <t>Common Mode Chokes / Filters WE-CNSW 1206 370mA 90Ohm 100MHz AECQ200</t>
  </si>
  <si>
    <t>L1</t>
  </si>
  <si>
    <t>Wurth Elektronik</t>
  </si>
  <si>
    <t>710-744232090</t>
  </si>
  <si>
    <t>DFE252012F-2R2M=P2</t>
  </si>
  <si>
    <t>Inductor Power Chip Shielded Wirewound 2.2uH 20% 1MHz Metal 2.3A 0.082Ohm DCR 1008 T/R</t>
  </si>
  <si>
    <t>L2, L4</t>
  </si>
  <si>
    <t>81-DFE252012F-2R2MP2</t>
  </si>
  <si>
    <t>LQW18AN10NG80D</t>
  </si>
  <si>
    <t>Inductor Wirewound , 10 nH, 52 Milliohm, ± 2%, 4.75 GHz, 1.6 A, 0603 [1608 Metric]</t>
  </si>
  <si>
    <t>L3</t>
  </si>
  <si>
    <t>Digi-Key</t>
  </si>
  <si>
    <t>490-17899-1-ND</t>
  </si>
  <si>
    <t>MMBT3904LT1G</t>
  </si>
  <si>
    <t>Bipolar Transistors - BJT NPN GENERAL PURPOSE</t>
  </si>
  <si>
    <t>Q1</t>
  </si>
  <si>
    <t>863-MMBT3904LT1G</t>
  </si>
  <si>
    <t>DMP2305U-7</t>
  </si>
  <si>
    <t>MOSFET P-CHANNEL ENHANCEMENT MODE</t>
  </si>
  <si>
    <t>Q2</t>
  </si>
  <si>
    <t>Diodes Inc.</t>
  </si>
  <si>
    <t>NTR4171PT1G</t>
  </si>
  <si>
    <t>NTR4171PT1G P-channel Mosfet Transistor, 3.5 A, 30 V, 3-PIN SOT-23</t>
  </si>
  <si>
    <t>Q3, Q4</t>
  </si>
  <si>
    <t>CRCW02011K00FNED</t>
  </si>
  <si>
    <t>Thick Film Resistors - SMD 1/20watt 1Kohms 1% 200ppm</t>
  </si>
  <si>
    <t>R3</t>
  </si>
  <si>
    <t>Vishay</t>
  </si>
  <si>
    <t>CRCW040210K0JNEDC</t>
  </si>
  <si>
    <t>Thick Film Resistors - SMD 1/16watt 10Kohms 5% Commercial Use</t>
  </si>
  <si>
    <t>R4</t>
  </si>
  <si>
    <t>71-CRCW040210K0JNEDC</t>
  </si>
  <si>
    <t>ERA-3AEB124V</t>
  </si>
  <si>
    <t>Thin Film Resistors - SMD 0603 120Kohm 1/10W AEC-Q200</t>
  </si>
  <si>
    <t>R5</t>
  </si>
  <si>
    <t>Panasonic</t>
  </si>
  <si>
    <t>ERA3AEB124V</t>
  </si>
  <si>
    <t>667-ERA-3AEB124V</t>
  </si>
  <si>
    <t>ERA-3AEB304V</t>
  </si>
  <si>
    <t>Thin Film Resistors - SMD 0603 1/10W 300Kohms</t>
  </si>
  <si>
    <t>R6</t>
  </si>
  <si>
    <t>ERA3AEB304V</t>
  </si>
  <si>
    <t>667-ERA-3AEB304V</t>
  </si>
  <si>
    <t>CRG0402F1M0</t>
  </si>
  <si>
    <t>Thick Film Resistors  - SMD 0402 0.063 W 1MOhms</t>
  </si>
  <si>
    <t>R7</t>
  </si>
  <si>
    <t>TE Connectivity</t>
  </si>
  <si>
    <t>279-CRG0402F1M0</t>
  </si>
  <si>
    <t>RC0201FR-7D1ML</t>
  </si>
  <si>
    <t>Thick Film Resistors - SMD 1 MOhms 50 mW 0201 1%</t>
  </si>
  <si>
    <t>R8, R9, R19, R20, R21, R22, R57, R59, R60, R66, R67</t>
  </si>
  <si>
    <t>Yageo Group</t>
  </si>
  <si>
    <t>603-RC0201FR-7D1ML</t>
  </si>
  <si>
    <t>ERJ-U02F1002X</t>
  </si>
  <si>
    <t>Thick Film Resistors - SMD 0402 1% 10Kohm Anti-Sulfur AEC-Q200</t>
  </si>
  <si>
    <t>R10</t>
  </si>
  <si>
    <t>ERJU02F1002X</t>
  </si>
  <si>
    <t>CRCW0201383RFNED</t>
  </si>
  <si>
    <t>Thick Film Resistors - SMD 383ohm 1% 200ppm</t>
  </si>
  <si>
    <t>R11</t>
  </si>
  <si>
    <t>CRCW020127K4FNED</t>
  </si>
  <si>
    <t>Resistor</t>
  </si>
  <si>
    <t>R12</t>
  </si>
  <si>
    <t>71-CRCW020127K4FNED</t>
  </si>
  <si>
    <t>RC0402JR-7D1KL</t>
  </si>
  <si>
    <t>Thick Film Resistors - SMD 1 kOhms 62.5 mW 0402 5%</t>
  </si>
  <si>
    <t>R13</t>
  </si>
  <si>
    <t>603-RC0402JR-7D1KL</t>
  </si>
  <si>
    <t>RC0402JR-7D330RL</t>
  </si>
  <si>
    <t>Thick Film Resistors - SMD 330 Ohms 62.5mW 0402 5%</t>
  </si>
  <si>
    <t>R14</t>
  </si>
  <si>
    <t>603-RC0402JR-7D330RL</t>
  </si>
  <si>
    <t>CRCW04021K60JNED</t>
  </si>
  <si>
    <t>Thick Film Resistors - SMD 1/16watt 1.6Kohms 5%</t>
  </si>
  <si>
    <t>R15</t>
  </si>
  <si>
    <t>71-CRCW0402J-1.6K-E3</t>
  </si>
  <si>
    <t>RES 10K 0201 1% 100PPM</t>
  </si>
  <si>
    <t>R16</t>
  </si>
  <si>
    <t>CRCW020110K0FKED</t>
  </si>
  <si>
    <t>DigiKey</t>
  </si>
  <si>
    <t>541-10.0KAABCT-ND</t>
  </si>
  <si>
    <t>RES 0R 0201</t>
  </si>
  <si>
    <t>R17</t>
  </si>
  <si>
    <t>CRCW02010000Z0ED</t>
  </si>
  <si>
    <t>541-0.0AGCT-ND</t>
  </si>
  <si>
    <t>RES 750R 0201 1% 100PPM</t>
  </si>
  <si>
    <t>R23</t>
  </si>
  <si>
    <t>CRCW0201750RFKED</t>
  </si>
  <si>
    <t>541-750AABCT-ND</t>
  </si>
  <si>
    <t>RES 330R 0201 1% 100PPM</t>
  </si>
  <si>
    <t>R24</t>
  </si>
  <si>
    <t>CRCW0201330RFKED</t>
  </si>
  <si>
    <t>71-CRCW0201330RFKED</t>
  </si>
  <si>
    <t>RES 1.6K 0201 1% 100PPM</t>
  </si>
  <si>
    <t>R25</t>
  </si>
  <si>
    <t>CRCW02011K60FKED</t>
  </si>
  <si>
    <t>71-CRCW02011K60FKED</t>
  </si>
  <si>
    <t>CRCW02015K10JNED</t>
  </si>
  <si>
    <t>Thick Film Resistors - SMD 1/20watt 5.1Kohms 5% 200ppm</t>
  </si>
  <si>
    <t>R33, R34</t>
  </si>
  <si>
    <t>71-CRCW02015K10JNED</t>
  </si>
  <si>
    <t>CRCW04020000Z0EEHP</t>
  </si>
  <si>
    <t>Thick Film Resistors - SMD CRCW 402 jumper</t>
  </si>
  <si>
    <t>R35, R53, R55</t>
  </si>
  <si>
    <t>71-CRCW04020000Z0EEH</t>
  </si>
  <si>
    <t>ERJ-U02F4700X</t>
  </si>
  <si>
    <t>Thick Film Resistors - SMD 1/20watt 470ohms 1% 200ppm</t>
  </si>
  <si>
    <t>R40, R42</t>
  </si>
  <si>
    <t>667-ERJ-U02F4700X</t>
  </si>
  <si>
    <t>CRCW04023K30FKED</t>
  </si>
  <si>
    <t>Thick Film Resistors - SMD 1/16watt 3.3Kohms 1% 100ppm</t>
  </si>
  <si>
    <t>R41</t>
  </si>
  <si>
    <t>71-CRCW0402-3.3K-E3</t>
  </si>
  <si>
    <t>CRCW020136K5FNED</t>
  </si>
  <si>
    <t>Thick Film Resistors - SMD 36.5Kohm 1% 200ppm</t>
  </si>
  <si>
    <t>R45, R68</t>
  </si>
  <si>
    <t>71-CRCW020136K5FNED</t>
  </si>
  <si>
    <t>RC0201FR-070RL</t>
  </si>
  <si>
    <t>Thick Film Resistors - SMD 0 Ohms 50mW 0201 1%</t>
  </si>
  <si>
    <t>R46, R47, R69, R70</t>
  </si>
  <si>
    <t>603-RC0201FR-070RL</t>
  </si>
  <si>
    <t>ERJ-PA2F1003X</t>
  </si>
  <si>
    <t>Thick Film Resistors - SMD HP02 (0402) 1/5W 1% 100kR T/R-10000</t>
  </si>
  <si>
    <t>R48</t>
  </si>
  <si>
    <t>CRCW040249K9FKED</t>
  </si>
  <si>
    <t>Thick Film Resistors - SMD 1/16watt 49.9Kohms 1%</t>
  </si>
  <si>
    <t>R49</t>
  </si>
  <si>
    <t>71-CRCW0402-49.9K-E3</t>
  </si>
  <si>
    <t>RES 4.7K 0201 1% 100PPM</t>
  </si>
  <si>
    <t>R54, R56, R61, R62</t>
  </si>
  <si>
    <t>CRCW02014K70FKED</t>
  </si>
  <si>
    <t>71-CRCW02014K70FKED</t>
  </si>
  <si>
    <t>RC0201FR-0710ML</t>
  </si>
  <si>
    <t>Thick Film Resistors - SMD 10 MOhms 50mW 0201 1%</t>
  </si>
  <si>
    <t>R58</t>
  </si>
  <si>
    <t>CRCW0201100KJNED</t>
  </si>
  <si>
    <t>Thick Film Resistors - SMD 1/20watt 100Kohms 5% 200ppm</t>
  </si>
  <si>
    <t>R63</t>
  </si>
  <si>
    <t>71-CRCW0201100KJNED</t>
  </si>
  <si>
    <t>CRCW04020000Z0ED</t>
  </si>
  <si>
    <t>Thick Film Resistors  - SMD 0402 0.063 W 0 Ohm Jumper</t>
  </si>
  <si>
    <t>R65</t>
  </si>
  <si>
    <t>541-0.0JCT-ND</t>
  </si>
  <si>
    <t>CT8132BV-IS3</t>
  </si>
  <si>
    <t>Board Mount Hall Effect/Magnetic Sensors Integrated Digital Omnipolar, TMR, High Sensitivity Magnetic Switch, SOT23 Package, Ind Temp, 2Hz</t>
  </si>
  <si>
    <t>SW1</t>
  </si>
  <si>
    <t>Allegro MicroSystems</t>
  </si>
  <si>
    <t>PTS820J2x</t>
  </si>
  <si>
    <t>SW SPST PB 50MA 12V SMT CK variant</t>
  </si>
  <si>
    <t>SW2</t>
  </si>
  <si>
    <t>C&amp;K Components</t>
  </si>
  <si>
    <t>PTS820J25MSMTRLFS</t>
  </si>
  <si>
    <t>611-PTS820J25MSMTR</t>
  </si>
  <si>
    <t>BQ25176MDSGR</t>
  </si>
  <si>
    <t>Battery Management 800-mA linear batter y charger for one-ce</t>
  </si>
  <si>
    <t>U1</t>
  </si>
  <si>
    <t>Texas Instruments</t>
  </si>
  <si>
    <t>ISP1807-LR</t>
  </si>
  <si>
    <t>IC ISP Smart Bluetooth Module</t>
  </si>
  <si>
    <t>U2</t>
  </si>
  <si>
    <t>Insight SiP</t>
  </si>
  <si>
    <t>ISP1807-LR-ST</t>
  </si>
  <si>
    <t>359-ISP1807-LR-ST</t>
  </si>
  <si>
    <t>IS25LP128F-JKLE</t>
  </si>
  <si>
    <t>IC MEM SERIAL NOR FLASH QSPI 128Mb/16MB 3.6V 166MHz WSON8 6X5</t>
  </si>
  <si>
    <t>U3</t>
  </si>
  <si>
    <t>ISSI</t>
  </si>
  <si>
    <t>IS25LP128F-JKLE-TR</t>
  </si>
  <si>
    <t>870-IS25LP128FJKLETR</t>
  </si>
  <si>
    <t>TPS22960RSER</t>
  </si>
  <si>
    <t>Power Switch ICs - Power Distribution Low Input VTG Dual L oad Switch</t>
  </si>
  <si>
    <t>U4</t>
  </si>
  <si>
    <t>USBLC6-2SC6</t>
  </si>
  <si>
    <t>ESD Suppressors / TVS Diodes High Speed Interface Protection Low Cap</t>
  </si>
  <si>
    <t>U6</t>
  </si>
  <si>
    <t>STMicroelectronics</t>
  </si>
  <si>
    <t>USBLC62SC6</t>
  </si>
  <si>
    <t>BMA400</t>
  </si>
  <si>
    <t>IC AXL Accel/temp SPI/I2C 12LGA</t>
  </si>
  <si>
    <t>U8</t>
  </si>
  <si>
    <t>Bosch Tools</t>
  </si>
  <si>
    <t>828-1081-1-ND</t>
  </si>
  <si>
    <t>SAM-M10Q-00B</t>
  </si>
  <si>
    <t>GNSS / GPS Modules u-blox M10 GNSS antenna module ROM, TCXO, SAW, LNA LGA, 16x16 mm</t>
  </si>
  <si>
    <t>U9</t>
  </si>
  <si>
    <t>u-blox</t>
  </si>
  <si>
    <t>377-SAM-M10Q-00B</t>
  </si>
  <si>
    <t>TPS63901YCJR</t>
  </si>
  <si>
    <t>Switching Voltage Regulators 5.5-V buck-boost con verter with 75-nA op</t>
  </si>
  <si>
    <t>U10, U13</t>
  </si>
  <si>
    <t>595-TPS63901YCJR</t>
  </si>
  <si>
    <t>TPS22916BYFPR</t>
  </si>
  <si>
    <t>Power Switch ICs - Power Distribution 5.5-V 2-A 60-mohm 10-nA leakage load A 595-TPS22916CNYFPT</t>
  </si>
  <si>
    <t>U11</t>
  </si>
  <si>
    <t>595-TPS22916BYFPR</t>
  </si>
  <si>
    <t>stm32wl-SMD</t>
  </si>
  <si>
    <t>Arribada SMD module Argos comunication with PA GR5504</t>
  </si>
  <si>
    <t>U12</t>
  </si>
  <si>
    <t>Arribada</t>
  </si>
  <si>
    <t>argos-smd-v1</t>
  </si>
  <si>
    <t>smd-v1</t>
  </si>
  <si>
    <t>Approved</t>
  </si>
  <si>
    <t>Notes</t>
  </si>
  <si>
    <t>C41, C42, C48, C50, C53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</si>
</sst>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Calibri"/>
      <scheme val="minor"/>
    </font>
    <font>
      <sz val="10"/>
      <color theme="1"/>
      <name val="Arial"/>
    </font>
    <font>
      <b/>
      <sz val="24"/>
      <color theme="1"/>
      <name val="Arial"/>
    </font>
    <font>
      <b/>
      <sz val="11"/>
      <color theme="1"/>
      <name val="Calibri"/>
      <scheme val="minor"/>
    </font>
    <font>
      <sz val="9"/>
      <color theme="1"/>
      <name val="Calibri"/>
      <scheme val="minor"/>
    </font>
    <font>
      <u/>
      <sz val="11"/>
      <color theme="10"/>
      <name val="Calibri"/>
      <scheme val="minor"/>
    </font>
    <font>
      <sz val="8"/>
      <color rgb="FF666666"/>
      <name val="Open Sans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6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4" fillId="2" borderId="2" xfId="0" applyFont="1" applyFill="1" applyBorder="1"/>
    <xf numFmtId="0" fontId="4" fillId="2" borderId="9" xfId="0" applyFont="1" applyFill="1" applyBorder="1"/>
    <xf numFmtId="0" fontId="4" fillId="0" borderId="9" xfId="0" applyFont="1" applyBorder="1"/>
    <xf numFmtId="0" fontId="4" fillId="0" borderId="8" xfId="0" applyFont="1" applyBorder="1"/>
    <xf numFmtId="164" fontId="4" fillId="0" borderId="2" xfId="0" applyNumberFormat="1" applyFont="1" applyBorder="1"/>
    <xf numFmtId="164" fontId="4" fillId="0" borderId="8" xfId="0" applyNumberFormat="1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 applyAlignment="1">
      <alignment wrapText="1"/>
    </xf>
    <xf numFmtId="0" fontId="4" fillId="0" borderId="2" xfId="0" applyFont="1" applyBorder="1" applyAlignment="1">
      <alignment wrapText="1"/>
    </xf>
    <xf numFmtId="0" fontId="2" fillId="0" borderId="4" xfId="1" applyFont="1" applyBorder="1" applyAlignment="1">
      <alignment vertical="center"/>
    </xf>
    <xf numFmtId="0" fontId="3" fillId="0" borderId="0" xfId="0" applyFont="1" applyAlignment="1">
      <alignment horizontal="right"/>
    </xf>
    <xf numFmtId="0" fontId="0" fillId="2" borderId="13" xfId="0" applyFill="1" applyBorder="1"/>
    <xf numFmtId="0" fontId="0" fillId="0" borderId="13" xfId="0" applyBorder="1" applyAlignment="1">
      <alignment wrapText="1"/>
    </xf>
    <xf numFmtId="0" fontId="0" fillId="0" borderId="14" xfId="0" applyBorder="1"/>
    <xf numFmtId="0" fontId="0" fillId="0" borderId="6" xfId="0" applyBorder="1"/>
    <xf numFmtId="0" fontId="0" fillId="0" borderId="15" xfId="0" applyBorder="1"/>
    <xf numFmtId="0" fontId="0" fillId="2" borderId="6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5" fillId="0" borderId="0" xfId="2"/>
    <xf numFmtId="0" fontId="6" fillId="0" borderId="0" xfId="0" applyFont="1"/>
    <xf numFmtId="0" fontId="3" fillId="0" borderId="3" xfId="0" quotePrefix="1" applyFont="1" applyBorder="1"/>
    <xf numFmtId="0" fontId="3" fillId="0" borderId="1" xfId="0" quotePrefix="1" applyFont="1" applyBorder="1"/>
  </cellXfs>
  <cellStyles count="3">
    <cellStyle name="Lien hypertexte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1001297</xdr:colOff>
      <xdr:row>0</xdr:row>
      <xdr:rowOff>186779</xdr:rowOff>
    </xdr:from>
    <xdr:to>
      <xdr:col>9</xdr:col>
      <xdr:colOff>560189</xdr:colOff>
      <xdr:row>3</xdr:row>
      <xdr:rowOff>164604</xdr:rowOff>
    </xdr:to>
    <xdr:pic>
      <xdr:nvPicPr>
        <xdr:cNvPr id="2" name="Image 1" descr="Goku - Arribada Initiative | Open Source Conservation Technolog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15176" y="186765"/>
          <a:ext cx="2196353" cy="733617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arribada.org" TargetMode="External"/><Relationship Id="rId2" Type="http://schemas.openxmlformats.org/officeDocument/2006/relationships/hyperlink" Target="https://github.com/arribada" TargetMode="External"/><Relationship Id="rId1" Type="http://schemas.openxmlformats.org/officeDocument/2006/relationships/hyperlink" Target="https://arribada.org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100"/>
  <sheetViews>
    <sheetView showGridLines="0" tabSelected="1" zoomScale="85" zoomScaleNormal="85" workbookViewId="0">
      <selection activeCell="D17" sqref="D17"/>
    </sheetView>
  </sheetViews>
  <sheetFormatPr baseColWidth="10" defaultColWidth="8.7265625" defaultRowHeight="14.5" x14ac:dyDescent="0.35"/>
  <cols>
    <col min="2" max="2" width="15.1796875" customWidth="1"/>
    <col min="3" max="3" width="25" customWidth="1"/>
    <col min="4" max="4" width="22.26953125" customWidth="1"/>
    <col min="5" max="5" width="17.54296875" customWidth="1"/>
    <col min="6" max="6" width="23.453125" customWidth="1"/>
    <col min="7" max="7" width="18.26953125" customWidth="1"/>
    <col min="8" max="8" width="21" customWidth="1"/>
    <col min="9" max="9" width="16.81640625" customWidth="1"/>
    <col min="10" max="10" width="8.7265625" customWidth="1"/>
    <col min="11" max="11" width="14" customWidth="1"/>
  </cols>
  <sheetData>
    <row r="1" spans="2:11" ht="15" customHeight="1" thickBot="1" x14ac:dyDescent="0.4"/>
    <row r="2" spans="2:11" ht="30" customHeight="1" x14ac:dyDescent="0.35">
      <c r="B2" s="24"/>
      <c r="C2" s="20" t="s">
        <v>0</v>
      </c>
      <c r="D2" s="4"/>
      <c r="E2" s="4"/>
      <c r="F2" s="4"/>
      <c r="G2" s="4"/>
      <c r="H2" s="4"/>
      <c r="I2" s="4"/>
      <c r="J2" s="4"/>
      <c r="K2" s="5"/>
    </row>
    <row r="3" spans="2:11" x14ac:dyDescent="0.35">
      <c r="B3" s="5"/>
      <c r="K3" s="5"/>
    </row>
    <row r="4" spans="2:11" x14ac:dyDescent="0.35">
      <c r="B4" s="5"/>
      <c r="C4" s="21" t="s">
        <v>1</v>
      </c>
      <c r="D4" s="34" t="s">
        <v>2</v>
      </c>
      <c r="E4" s="3"/>
      <c r="K4" s="5"/>
    </row>
    <row r="5" spans="2:11" x14ac:dyDescent="0.35">
      <c r="B5" s="5"/>
      <c r="C5" s="21" t="s">
        <v>3</v>
      </c>
      <c r="D5" s="35" t="s">
        <v>4</v>
      </c>
      <c r="E5" s="1"/>
      <c r="H5" s="32" t="s">
        <v>5</v>
      </c>
      <c r="I5" s="32" t="s">
        <v>6</v>
      </c>
      <c r="K5" s="5"/>
    </row>
    <row r="6" spans="2:11" x14ac:dyDescent="0.35">
      <c r="B6" s="5"/>
      <c r="C6" s="21" t="s">
        <v>7</v>
      </c>
      <c r="D6" s="35" t="s">
        <v>8</v>
      </c>
      <c r="E6" s="1"/>
      <c r="I6" s="32" t="s">
        <v>9</v>
      </c>
      <c r="K6" s="5"/>
    </row>
    <row r="7" spans="2:11" x14ac:dyDescent="0.35">
      <c r="B7" s="5"/>
      <c r="I7" s="33" t="s">
        <v>10</v>
      </c>
      <c r="K7" s="5"/>
    </row>
    <row r="8" spans="2:11" x14ac:dyDescent="0.35">
      <c r="B8" s="5"/>
      <c r="I8" s="33" t="s">
        <v>11</v>
      </c>
      <c r="K8" s="5"/>
    </row>
    <row r="9" spans="2:11" x14ac:dyDescent="0.35">
      <c r="B9" s="5"/>
      <c r="I9" s="33" t="s">
        <v>12</v>
      </c>
      <c r="K9" s="5"/>
    </row>
    <row r="10" spans="2:11" x14ac:dyDescent="0.35">
      <c r="B10" s="5"/>
      <c r="I10" s="33"/>
      <c r="K10" s="5"/>
    </row>
    <row r="11" spans="2:11" x14ac:dyDescent="0.35">
      <c r="B11" s="27" t="s">
        <v>13</v>
      </c>
      <c r="C11" s="28" t="s">
        <v>14</v>
      </c>
      <c r="D11" s="29" t="s">
        <v>15</v>
      </c>
      <c r="E11" s="30" t="s">
        <v>16</v>
      </c>
      <c r="F11" s="30" t="s">
        <v>17</v>
      </c>
      <c r="G11" s="30" t="s">
        <v>18</v>
      </c>
      <c r="H11" s="30" t="s">
        <v>19</v>
      </c>
      <c r="I11" s="30" t="s">
        <v>20</v>
      </c>
      <c r="J11" s="31" t="s">
        <v>21</v>
      </c>
      <c r="K11" s="31" t="s">
        <v>22</v>
      </c>
    </row>
    <row r="12" spans="2:11" hidden="1" x14ac:dyDescent="0.35">
      <c r="B12" s="6" t="s">
        <v>23</v>
      </c>
      <c r="C12" s="22" t="s">
        <v>14</v>
      </c>
      <c r="D12" s="2" t="s">
        <v>15</v>
      </c>
      <c r="E12" s="9" t="s">
        <v>24</v>
      </c>
      <c r="F12" s="9" t="s">
        <v>25</v>
      </c>
      <c r="G12" s="9" t="s">
        <v>26</v>
      </c>
      <c r="H12" s="9" t="s">
        <v>27</v>
      </c>
      <c r="I12" s="9" t="s">
        <v>28</v>
      </c>
      <c r="J12" s="10" t="s">
        <v>21</v>
      </c>
      <c r="K12" s="10" t="s">
        <v>22</v>
      </c>
    </row>
    <row r="13" spans="2:11" ht="29" x14ac:dyDescent="0.35">
      <c r="B13" s="25" t="s">
        <v>29</v>
      </c>
      <c r="C13" s="23" t="s">
        <v>30</v>
      </c>
      <c r="D13" s="18" t="s">
        <v>31</v>
      </c>
      <c r="E13" s="19" t="s">
        <v>32</v>
      </c>
      <c r="F13" s="19" t="s">
        <v>33</v>
      </c>
      <c r="G13" s="19" t="s">
        <v>34</v>
      </c>
      <c r="H13" s="19" t="s">
        <v>33</v>
      </c>
      <c r="I13" s="13">
        <v>2.31</v>
      </c>
      <c r="J13" s="11">
        <v>1</v>
      </c>
      <c r="K13" s="13">
        <f>I13*J13</f>
        <v>2.31</v>
      </c>
    </row>
    <row r="14" spans="2:11" ht="43.5" x14ac:dyDescent="0.35">
      <c r="B14" s="25" t="s">
        <v>35</v>
      </c>
      <c r="C14" s="23" t="s">
        <v>36</v>
      </c>
      <c r="D14" s="18" t="s">
        <v>37</v>
      </c>
      <c r="E14" s="19" t="s">
        <v>38</v>
      </c>
      <c r="F14" s="19" t="s">
        <v>35</v>
      </c>
      <c r="G14" s="19" t="s">
        <v>34</v>
      </c>
      <c r="H14" s="19" t="s">
        <v>35</v>
      </c>
      <c r="I14" s="13">
        <v>3.2599999999999997E-2</v>
      </c>
      <c r="J14" s="11">
        <v>2</v>
      </c>
      <c r="K14" s="13">
        <f>I14*J14</f>
        <v>6.5199999999999994E-2</v>
      </c>
    </row>
    <row r="15" spans="2:11" ht="58" x14ac:dyDescent="0.35">
      <c r="B15" s="25" t="s">
        <v>39</v>
      </c>
      <c r="C15" s="23" t="s">
        <v>40</v>
      </c>
      <c r="D15" s="18" t="s">
        <v>41</v>
      </c>
      <c r="E15" s="19" t="s">
        <v>38</v>
      </c>
      <c r="F15" s="19" t="s">
        <v>39</v>
      </c>
      <c r="G15" s="19" t="s">
        <v>42</v>
      </c>
      <c r="H15" s="19" t="s">
        <v>43</v>
      </c>
      <c r="I15" s="13">
        <v>0.14000000000000001</v>
      </c>
      <c r="J15" s="11">
        <v>2</v>
      </c>
      <c r="K15" s="13">
        <f>I15*J15</f>
        <v>0.28000000000000003</v>
      </c>
    </row>
    <row r="16" spans="2:11" ht="43.5" x14ac:dyDescent="0.35">
      <c r="B16" s="25" t="s">
        <v>44</v>
      </c>
      <c r="C16" s="23" t="s">
        <v>45</v>
      </c>
      <c r="D16" s="18" t="s">
        <v>340</v>
      </c>
      <c r="E16" s="19" t="s">
        <v>38</v>
      </c>
      <c r="F16" s="19" t="s">
        <v>44</v>
      </c>
      <c r="G16" s="19"/>
      <c r="H16" s="19"/>
      <c r="I16" s="13"/>
      <c r="J16" s="11">
        <v>5</v>
      </c>
      <c r="K16" s="13"/>
    </row>
    <row r="17" spans="2:11" ht="29" x14ac:dyDescent="0.35">
      <c r="B17" s="25" t="s">
        <v>46</v>
      </c>
      <c r="C17" s="23" t="s">
        <v>46</v>
      </c>
      <c r="D17" s="18" t="s">
        <v>47</v>
      </c>
      <c r="E17" s="19" t="s">
        <v>38</v>
      </c>
      <c r="F17" s="19" t="s">
        <v>48</v>
      </c>
      <c r="G17" s="19" t="s">
        <v>42</v>
      </c>
      <c r="H17" s="19" t="s">
        <v>49</v>
      </c>
      <c r="I17" s="13"/>
      <c r="J17" s="11">
        <v>3</v>
      </c>
      <c r="K17" s="13"/>
    </row>
    <row r="18" spans="2:11" x14ac:dyDescent="0.35">
      <c r="B18" s="25" t="s">
        <v>50</v>
      </c>
      <c r="C18" s="23" t="s">
        <v>51</v>
      </c>
      <c r="D18" s="18" t="s">
        <v>52</v>
      </c>
      <c r="E18" s="19"/>
      <c r="F18" s="19"/>
      <c r="G18" s="19"/>
      <c r="H18" s="19"/>
      <c r="I18" s="13"/>
      <c r="J18" s="11">
        <v>2</v>
      </c>
      <c r="K18" s="13"/>
    </row>
    <row r="19" spans="2:11" ht="43.5" x14ac:dyDescent="0.35">
      <c r="B19" s="25" t="s">
        <v>53</v>
      </c>
      <c r="C19" s="23" t="s">
        <v>54</v>
      </c>
      <c r="D19" s="18" t="s">
        <v>55</v>
      </c>
      <c r="E19" s="19" t="s">
        <v>38</v>
      </c>
      <c r="F19" s="19" t="s">
        <v>53</v>
      </c>
      <c r="G19" s="19" t="s">
        <v>42</v>
      </c>
      <c r="H19" s="19" t="s">
        <v>56</v>
      </c>
      <c r="I19" s="13">
        <v>0.02</v>
      </c>
      <c r="J19" s="11">
        <v>4</v>
      </c>
      <c r="K19" s="13">
        <f>I19*J19</f>
        <v>0.08</v>
      </c>
    </row>
    <row r="20" spans="2:11" ht="43.5" x14ac:dyDescent="0.35">
      <c r="B20" s="25" t="s">
        <v>57</v>
      </c>
      <c r="C20" s="23" t="s">
        <v>58</v>
      </c>
      <c r="D20" s="18" t="s">
        <v>59</v>
      </c>
      <c r="E20" s="19" t="s">
        <v>38</v>
      </c>
      <c r="F20" s="19" t="s">
        <v>57</v>
      </c>
      <c r="G20" s="19" t="s">
        <v>42</v>
      </c>
      <c r="H20" s="19" t="s">
        <v>60</v>
      </c>
      <c r="I20" s="13"/>
      <c r="J20" s="11">
        <v>4</v>
      </c>
      <c r="K20" s="13"/>
    </row>
    <row r="21" spans="2:11" ht="43.5" x14ac:dyDescent="0.35">
      <c r="B21" s="25" t="s">
        <v>61</v>
      </c>
      <c r="C21" s="23" t="s">
        <v>62</v>
      </c>
      <c r="D21" s="18" t="s">
        <v>63</v>
      </c>
      <c r="E21" s="19" t="s">
        <v>64</v>
      </c>
      <c r="F21" s="19" t="s">
        <v>61</v>
      </c>
      <c r="G21" s="19" t="s">
        <v>42</v>
      </c>
      <c r="H21" s="19" t="s">
        <v>65</v>
      </c>
      <c r="I21" s="13">
        <v>0.31</v>
      </c>
      <c r="J21" s="11">
        <v>1</v>
      </c>
      <c r="K21" s="13">
        <f>I21*J21</f>
        <v>0.31</v>
      </c>
    </row>
    <row r="22" spans="2:11" ht="43.5" x14ac:dyDescent="0.35">
      <c r="B22" s="25" t="s">
        <v>66</v>
      </c>
      <c r="C22" s="23" t="s">
        <v>67</v>
      </c>
      <c r="D22" s="18" t="s">
        <v>68</v>
      </c>
      <c r="E22" s="19" t="s">
        <v>38</v>
      </c>
      <c r="F22" s="19" t="s">
        <v>66</v>
      </c>
      <c r="G22" s="19" t="s">
        <v>42</v>
      </c>
      <c r="H22" s="19" t="s">
        <v>69</v>
      </c>
      <c r="I22" s="13"/>
      <c r="J22" s="11">
        <v>5</v>
      </c>
      <c r="K22" s="13"/>
    </row>
    <row r="23" spans="2:11" ht="43.5" x14ac:dyDescent="0.35">
      <c r="B23" s="25" t="s">
        <v>70</v>
      </c>
      <c r="C23" s="23" t="s">
        <v>71</v>
      </c>
      <c r="D23" s="18" t="s">
        <v>72</v>
      </c>
      <c r="E23" s="19" t="s">
        <v>38</v>
      </c>
      <c r="F23" s="19" t="s">
        <v>70</v>
      </c>
      <c r="G23" s="19" t="s">
        <v>34</v>
      </c>
      <c r="H23" s="19" t="s">
        <v>70</v>
      </c>
      <c r="I23" s="13">
        <v>0.14180000000000001</v>
      </c>
      <c r="J23" s="11">
        <v>1</v>
      </c>
      <c r="K23" s="13">
        <f>I23*J23</f>
        <v>0.14180000000000001</v>
      </c>
    </row>
    <row r="24" spans="2:11" ht="43.5" x14ac:dyDescent="0.35">
      <c r="B24" s="25" t="s">
        <v>73</v>
      </c>
      <c r="C24" s="23" t="s">
        <v>74</v>
      </c>
      <c r="D24" s="18" t="s">
        <v>75</v>
      </c>
      <c r="E24" s="19" t="s">
        <v>38</v>
      </c>
      <c r="F24" s="19" t="s">
        <v>73</v>
      </c>
      <c r="G24" s="19" t="s">
        <v>34</v>
      </c>
      <c r="H24" s="19" t="s">
        <v>73</v>
      </c>
      <c r="I24" s="13">
        <v>3.0200000000000001E-2</v>
      </c>
      <c r="J24" s="11">
        <v>1</v>
      </c>
      <c r="K24" s="13">
        <f>I24*J24</f>
        <v>3.0200000000000001E-2</v>
      </c>
    </row>
    <row r="25" spans="2:11" ht="43.5" x14ac:dyDescent="0.35">
      <c r="B25" s="25" t="s">
        <v>76</v>
      </c>
      <c r="C25" s="23" t="s">
        <v>77</v>
      </c>
      <c r="D25" s="18" t="s">
        <v>78</v>
      </c>
      <c r="E25" s="19" t="s">
        <v>38</v>
      </c>
      <c r="F25" s="19" t="s">
        <v>79</v>
      </c>
      <c r="G25" s="19" t="s">
        <v>80</v>
      </c>
      <c r="H25" s="19" t="s">
        <v>79</v>
      </c>
      <c r="I25" s="13">
        <v>0.20499999999999999</v>
      </c>
      <c r="J25" s="11">
        <v>3</v>
      </c>
      <c r="K25" s="13">
        <f>I25*J25</f>
        <v>0.61499999999999999</v>
      </c>
    </row>
    <row r="26" spans="2:11" ht="43.5" x14ac:dyDescent="0.35">
      <c r="B26" s="25" t="s">
        <v>81</v>
      </c>
      <c r="C26" s="23" t="s">
        <v>82</v>
      </c>
      <c r="D26" s="18" t="s">
        <v>83</v>
      </c>
      <c r="E26" s="19" t="s">
        <v>38</v>
      </c>
      <c r="F26" s="19" t="s">
        <v>81</v>
      </c>
      <c r="G26" s="19"/>
      <c r="H26" s="19"/>
      <c r="I26" s="13"/>
      <c r="J26" s="11">
        <v>1</v>
      </c>
      <c r="K26" s="13"/>
    </row>
    <row r="27" spans="2:11" ht="29" x14ac:dyDescent="0.35">
      <c r="B27" s="25" t="s">
        <v>84</v>
      </c>
      <c r="C27" s="23" t="s">
        <v>85</v>
      </c>
      <c r="D27" s="18" t="s">
        <v>86</v>
      </c>
      <c r="E27" s="19" t="s">
        <v>87</v>
      </c>
      <c r="F27" s="19" t="s">
        <v>88</v>
      </c>
      <c r="G27" s="19" t="s">
        <v>42</v>
      </c>
      <c r="H27" s="19" t="s">
        <v>89</v>
      </c>
      <c r="I27" s="13">
        <v>0.23</v>
      </c>
      <c r="J27" s="11">
        <v>1</v>
      </c>
      <c r="K27" s="13">
        <f>I27*J27</f>
        <v>0.23</v>
      </c>
    </row>
    <row r="28" spans="2:11" x14ac:dyDescent="0.35">
      <c r="B28" s="25" t="s">
        <v>90</v>
      </c>
      <c r="C28" s="23" t="s">
        <v>90</v>
      </c>
      <c r="D28" s="18" t="s">
        <v>91</v>
      </c>
      <c r="E28" s="19" t="s">
        <v>92</v>
      </c>
      <c r="F28" s="19" t="s">
        <v>93</v>
      </c>
      <c r="G28" s="19" t="s">
        <v>42</v>
      </c>
      <c r="H28" s="19" t="s">
        <v>94</v>
      </c>
      <c r="I28" s="13">
        <v>0.72</v>
      </c>
      <c r="J28" s="11">
        <v>2</v>
      </c>
      <c r="K28" s="13">
        <f>I28*J28</f>
        <v>1.44</v>
      </c>
    </row>
    <row r="29" spans="2:11" x14ac:dyDescent="0.35">
      <c r="B29" s="25" t="s">
        <v>95</v>
      </c>
      <c r="C29" s="23" t="s">
        <v>96</v>
      </c>
      <c r="D29" s="18" t="s">
        <v>97</v>
      </c>
      <c r="E29" s="19" t="s">
        <v>98</v>
      </c>
      <c r="F29" s="19" t="s">
        <v>99</v>
      </c>
      <c r="G29" s="19" t="s">
        <v>80</v>
      </c>
      <c r="H29" s="19" t="s">
        <v>99</v>
      </c>
      <c r="I29" s="13">
        <v>0.24</v>
      </c>
      <c r="J29" s="11">
        <v>1</v>
      </c>
      <c r="K29" s="13">
        <f>I29*J29</f>
        <v>0.24</v>
      </c>
    </row>
    <row r="30" spans="2:11" x14ac:dyDescent="0.35">
      <c r="B30" s="25" t="s">
        <v>100</v>
      </c>
      <c r="C30" s="23" t="s">
        <v>101</v>
      </c>
      <c r="D30" s="18" t="s">
        <v>102</v>
      </c>
      <c r="E30" s="19" t="s">
        <v>98</v>
      </c>
      <c r="F30" s="19" t="s">
        <v>100</v>
      </c>
      <c r="G30" s="19"/>
      <c r="H30" s="19"/>
      <c r="I30" s="13"/>
      <c r="J30" s="11">
        <v>1</v>
      </c>
      <c r="K30" s="13"/>
    </row>
    <row r="31" spans="2:11" x14ac:dyDescent="0.35">
      <c r="B31" s="25" t="s">
        <v>103</v>
      </c>
      <c r="C31" s="23" t="s">
        <v>101</v>
      </c>
      <c r="D31" s="18" t="s">
        <v>104</v>
      </c>
      <c r="E31" s="19" t="s">
        <v>87</v>
      </c>
      <c r="F31" s="19" t="s">
        <v>105</v>
      </c>
      <c r="G31" s="19" t="s">
        <v>34</v>
      </c>
      <c r="H31" s="19" t="s">
        <v>105</v>
      </c>
      <c r="I31" s="13">
        <v>5.3699999999999998E-2</v>
      </c>
      <c r="J31" s="11">
        <v>2</v>
      </c>
      <c r="K31" s="13">
        <f>I31*J31</f>
        <v>0.1074</v>
      </c>
    </row>
    <row r="32" spans="2:11" ht="29" x14ac:dyDescent="0.35">
      <c r="B32" s="25" t="s">
        <v>106</v>
      </c>
      <c r="C32" s="23" t="s">
        <v>107</v>
      </c>
      <c r="D32" s="18" t="s">
        <v>108</v>
      </c>
      <c r="E32" s="19" t="s">
        <v>38</v>
      </c>
      <c r="F32" s="19" t="s">
        <v>106</v>
      </c>
      <c r="G32" s="19" t="s">
        <v>42</v>
      </c>
      <c r="H32" s="19" t="s">
        <v>109</v>
      </c>
      <c r="I32" s="13">
        <v>0.1</v>
      </c>
      <c r="J32" s="11">
        <v>4</v>
      </c>
      <c r="K32" s="13">
        <f>I32*J32</f>
        <v>0.4</v>
      </c>
    </row>
    <row r="33" spans="2:11" ht="24.5" x14ac:dyDescent="0.35">
      <c r="B33" s="25" t="s">
        <v>110</v>
      </c>
      <c r="C33" s="23" t="s">
        <v>111</v>
      </c>
      <c r="D33" s="18" t="s">
        <v>112</v>
      </c>
      <c r="E33" s="19" t="s">
        <v>113</v>
      </c>
      <c r="F33" s="19" t="s">
        <v>110</v>
      </c>
      <c r="G33" s="19" t="s">
        <v>114</v>
      </c>
      <c r="H33" s="19" t="s">
        <v>110</v>
      </c>
      <c r="I33" s="13">
        <v>0.47499999999999998</v>
      </c>
      <c r="J33" s="11">
        <v>2</v>
      </c>
      <c r="K33" s="13">
        <f t="shared" ref="K33:K39" si="0">I33*J33</f>
        <v>0.95</v>
      </c>
    </row>
    <row r="34" spans="2:11" ht="58" x14ac:dyDescent="0.35">
      <c r="B34" s="25" t="s">
        <v>115</v>
      </c>
      <c r="C34" s="23" t="s">
        <v>116</v>
      </c>
      <c r="D34" s="18" t="s">
        <v>117</v>
      </c>
      <c r="E34" s="19" t="s">
        <v>113</v>
      </c>
      <c r="F34" s="19" t="s">
        <v>118</v>
      </c>
      <c r="G34" s="19" t="s">
        <v>42</v>
      </c>
      <c r="H34" s="19" t="s">
        <v>119</v>
      </c>
      <c r="I34" s="13">
        <v>0.53</v>
      </c>
      <c r="J34" s="11">
        <v>1</v>
      </c>
      <c r="K34" s="13">
        <f t="shared" si="0"/>
        <v>0.53</v>
      </c>
    </row>
    <row r="35" spans="2:11" ht="29" x14ac:dyDescent="0.35">
      <c r="B35" s="25" t="s">
        <v>120</v>
      </c>
      <c r="C35" s="23" t="s">
        <v>121</v>
      </c>
      <c r="D35" s="18" t="s">
        <v>122</v>
      </c>
      <c r="E35" s="19" t="s">
        <v>123</v>
      </c>
      <c r="F35" s="19" t="s">
        <v>124</v>
      </c>
      <c r="G35" s="19" t="s">
        <v>42</v>
      </c>
      <c r="H35" s="19" t="s">
        <v>125</v>
      </c>
      <c r="I35" s="13">
        <v>1.23</v>
      </c>
      <c r="J35" s="11">
        <v>1</v>
      </c>
      <c r="K35" s="13">
        <f t="shared" si="0"/>
        <v>1.23</v>
      </c>
    </row>
    <row r="36" spans="2:11" ht="29" x14ac:dyDescent="0.35">
      <c r="B36" s="25" t="s">
        <v>126</v>
      </c>
      <c r="C36" s="23" t="s">
        <v>127</v>
      </c>
      <c r="D36" s="18" t="s">
        <v>128</v>
      </c>
      <c r="E36" s="19" t="s">
        <v>129</v>
      </c>
      <c r="F36" s="19" t="s">
        <v>126</v>
      </c>
      <c r="G36" s="19" t="s">
        <v>42</v>
      </c>
      <c r="H36" s="19" t="s">
        <v>130</v>
      </c>
      <c r="I36" s="13">
        <v>0.6</v>
      </c>
      <c r="J36" s="11">
        <v>1</v>
      </c>
      <c r="K36" s="13">
        <f t="shared" si="0"/>
        <v>0.6</v>
      </c>
    </row>
    <row r="37" spans="2:11" ht="72.5" x14ac:dyDescent="0.35">
      <c r="B37" s="25" t="s">
        <v>131</v>
      </c>
      <c r="C37" s="23" t="s">
        <v>132</v>
      </c>
      <c r="D37" s="18" t="s">
        <v>133</v>
      </c>
      <c r="E37" s="19" t="s">
        <v>123</v>
      </c>
      <c r="F37" s="19" t="s">
        <v>134</v>
      </c>
      <c r="G37" s="19" t="s">
        <v>42</v>
      </c>
      <c r="H37" s="19" t="s">
        <v>135</v>
      </c>
      <c r="I37" s="13">
        <v>1.67</v>
      </c>
      <c r="J37" s="11">
        <v>1</v>
      </c>
      <c r="K37" s="13">
        <f t="shared" si="0"/>
        <v>1.67</v>
      </c>
    </row>
    <row r="38" spans="2:11" ht="58" x14ac:dyDescent="0.35">
      <c r="B38" s="25" t="s">
        <v>136</v>
      </c>
      <c r="C38" s="23" t="s">
        <v>137</v>
      </c>
      <c r="D38" s="18" t="s">
        <v>138</v>
      </c>
      <c r="E38" s="19" t="s">
        <v>139</v>
      </c>
      <c r="F38" s="19" t="s">
        <v>136</v>
      </c>
      <c r="G38" s="19" t="s">
        <v>42</v>
      </c>
      <c r="H38" s="19" t="s">
        <v>140</v>
      </c>
      <c r="I38" s="13">
        <v>1.31</v>
      </c>
      <c r="J38" s="11">
        <v>1</v>
      </c>
      <c r="K38" s="13">
        <f t="shared" si="0"/>
        <v>1.31</v>
      </c>
    </row>
    <row r="39" spans="2:11" ht="58" x14ac:dyDescent="0.35">
      <c r="B39" s="25" t="s">
        <v>141</v>
      </c>
      <c r="C39" s="23" t="s">
        <v>142</v>
      </c>
      <c r="D39" s="18" t="s">
        <v>143</v>
      </c>
      <c r="E39" s="19" t="s">
        <v>38</v>
      </c>
      <c r="F39" s="19" t="s">
        <v>141</v>
      </c>
      <c r="G39" s="19" t="s">
        <v>42</v>
      </c>
      <c r="H39" s="19" t="s">
        <v>144</v>
      </c>
      <c r="I39" s="13">
        <v>0.25</v>
      </c>
      <c r="J39" s="11">
        <v>2</v>
      </c>
      <c r="K39" s="13">
        <f t="shared" si="0"/>
        <v>0.5</v>
      </c>
    </row>
    <row r="40" spans="2:11" ht="43.5" x14ac:dyDescent="0.35">
      <c r="B40" s="25" t="s">
        <v>145</v>
      </c>
      <c r="C40" s="23" t="s">
        <v>146</v>
      </c>
      <c r="D40" s="18" t="s">
        <v>147</v>
      </c>
      <c r="E40" s="19" t="s">
        <v>38</v>
      </c>
      <c r="F40" s="19" t="s">
        <v>145</v>
      </c>
      <c r="G40" s="19" t="s">
        <v>148</v>
      </c>
      <c r="H40" s="19" t="s">
        <v>149</v>
      </c>
      <c r="I40" s="13"/>
      <c r="J40" s="11">
        <v>1</v>
      </c>
      <c r="K40" s="13"/>
    </row>
    <row r="41" spans="2:11" ht="29" x14ac:dyDescent="0.35">
      <c r="B41" s="25" t="s">
        <v>150</v>
      </c>
      <c r="C41" s="23" t="s">
        <v>151</v>
      </c>
      <c r="D41" s="18" t="s">
        <v>152</v>
      </c>
      <c r="E41" s="19" t="s">
        <v>87</v>
      </c>
      <c r="F41" s="19" t="s">
        <v>150</v>
      </c>
      <c r="G41" s="19" t="s">
        <v>42</v>
      </c>
      <c r="H41" s="19" t="s">
        <v>153</v>
      </c>
      <c r="I41" s="13">
        <v>0.14000000000000001</v>
      </c>
      <c r="J41" s="11">
        <v>1</v>
      </c>
      <c r="K41" s="13">
        <f>I41*J41</f>
        <v>0.14000000000000001</v>
      </c>
    </row>
    <row r="42" spans="2:11" ht="29" x14ac:dyDescent="0.35">
      <c r="B42" s="25" t="s">
        <v>154</v>
      </c>
      <c r="C42" s="23" t="s">
        <v>155</v>
      </c>
      <c r="D42" s="18" t="s">
        <v>156</v>
      </c>
      <c r="E42" s="19" t="s">
        <v>157</v>
      </c>
      <c r="F42" s="19" t="s">
        <v>154</v>
      </c>
      <c r="G42" s="19" t="s">
        <v>34</v>
      </c>
      <c r="H42" s="19" t="s">
        <v>154</v>
      </c>
      <c r="I42" s="13">
        <v>0.35360000000000003</v>
      </c>
      <c r="J42" s="11">
        <v>1</v>
      </c>
      <c r="K42" s="13">
        <f>I42*J42</f>
        <v>0.35360000000000003</v>
      </c>
    </row>
    <row r="43" spans="2:11" ht="43.5" x14ac:dyDescent="0.35">
      <c r="B43" s="25" t="s">
        <v>158</v>
      </c>
      <c r="C43" s="23" t="s">
        <v>159</v>
      </c>
      <c r="D43" s="18" t="s">
        <v>160</v>
      </c>
      <c r="E43" s="19" t="s">
        <v>87</v>
      </c>
      <c r="F43" s="19" t="s">
        <v>158</v>
      </c>
      <c r="G43" s="19" t="s">
        <v>34</v>
      </c>
      <c r="H43" s="19" t="s">
        <v>158</v>
      </c>
      <c r="I43" s="13">
        <v>0.65510000000000002</v>
      </c>
      <c r="J43" s="11">
        <v>2</v>
      </c>
      <c r="K43" s="13">
        <f>I43*J43</f>
        <v>1.3102</v>
      </c>
    </row>
    <row r="44" spans="2:11" ht="43.5" x14ac:dyDescent="0.35">
      <c r="B44" s="25" t="s">
        <v>161</v>
      </c>
      <c r="C44" s="23" t="s">
        <v>162</v>
      </c>
      <c r="D44" s="18" t="s">
        <v>163</v>
      </c>
      <c r="E44" s="19" t="s">
        <v>164</v>
      </c>
      <c r="F44" s="19" t="s">
        <v>161</v>
      </c>
      <c r="G44" s="19" t="s">
        <v>34</v>
      </c>
      <c r="H44" s="19" t="s">
        <v>161</v>
      </c>
      <c r="I44" s="13">
        <v>4.7999999999999996E-3</v>
      </c>
      <c r="J44" s="11">
        <v>1</v>
      </c>
      <c r="K44" s="13">
        <f>I44*J44</f>
        <v>4.7999999999999996E-3</v>
      </c>
    </row>
    <row r="45" spans="2:11" ht="43.5" x14ac:dyDescent="0.35">
      <c r="B45" s="25" t="s">
        <v>165</v>
      </c>
      <c r="C45" s="23" t="s">
        <v>166</v>
      </c>
      <c r="D45" s="18" t="s">
        <v>167</v>
      </c>
      <c r="E45" s="19" t="s">
        <v>164</v>
      </c>
      <c r="F45" s="19" t="s">
        <v>165</v>
      </c>
      <c r="G45" s="19" t="s">
        <v>42</v>
      </c>
      <c r="H45" s="19" t="s">
        <v>168</v>
      </c>
      <c r="I45" s="13"/>
      <c r="J45" s="11">
        <v>1</v>
      </c>
      <c r="K45" s="13"/>
    </row>
    <row r="46" spans="2:11" ht="43.5" x14ac:dyDescent="0.35">
      <c r="B46" s="25" t="s">
        <v>169</v>
      </c>
      <c r="C46" s="23" t="s">
        <v>170</v>
      </c>
      <c r="D46" s="18" t="s">
        <v>171</v>
      </c>
      <c r="E46" s="19" t="s">
        <v>172</v>
      </c>
      <c r="F46" s="19" t="s">
        <v>173</v>
      </c>
      <c r="G46" s="19" t="s">
        <v>42</v>
      </c>
      <c r="H46" s="19" t="s">
        <v>174</v>
      </c>
      <c r="I46" s="13">
        <v>0.1</v>
      </c>
      <c r="J46" s="11">
        <v>1</v>
      </c>
      <c r="K46" s="13">
        <f>I46*J46</f>
        <v>0.1</v>
      </c>
    </row>
    <row r="47" spans="2:11" ht="29" x14ac:dyDescent="0.35">
      <c r="B47" s="25" t="s">
        <v>175</v>
      </c>
      <c r="C47" s="23" t="s">
        <v>176</v>
      </c>
      <c r="D47" s="18" t="s">
        <v>177</v>
      </c>
      <c r="E47" s="19" t="s">
        <v>172</v>
      </c>
      <c r="F47" s="19" t="s">
        <v>178</v>
      </c>
      <c r="G47" s="19" t="s">
        <v>42</v>
      </c>
      <c r="H47" s="19" t="s">
        <v>179</v>
      </c>
      <c r="I47" s="13">
        <v>0.1</v>
      </c>
      <c r="J47" s="11">
        <v>1</v>
      </c>
      <c r="K47" s="13">
        <f>I47*J47</f>
        <v>0.1</v>
      </c>
    </row>
    <row r="48" spans="2:11" ht="29" x14ac:dyDescent="0.35">
      <c r="B48" s="25" t="s">
        <v>180</v>
      </c>
      <c r="C48" s="23" t="s">
        <v>181</v>
      </c>
      <c r="D48" s="18" t="s">
        <v>182</v>
      </c>
      <c r="E48" s="19" t="s">
        <v>183</v>
      </c>
      <c r="F48" s="19" t="s">
        <v>180</v>
      </c>
      <c r="G48" s="19" t="s">
        <v>42</v>
      </c>
      <c r="H48" s="19" t="s">
        <v>184</v>
      </c>
      <c r="I48" s="13">
        <v>0.1</v>
      </c>
      <c r="J48" s="11">
        <v>1</v>
      </c>
      <c r="K48" s="13">
        <f>I48*J48</f>
        <v>0.1</v>
      </c>
    </row>
    <row r="49" spans="2:11" ht="43.5" x14ac:dyDescent="0.35">
      <c r="B49" s="25" t="s">
        <v>185</v>
      </c>
      <c r="C49" s="23" t="s">
        <v>186</v>
      </c>
      <c r="D49" s="18" t="s">
        <v>187</v>
      </c>
      <c r="E49" s="19" t="s">
        <v>188</v>
      </c>
      <c r="F49" s="19" t="s">
        <v>185</v>
      </c>
      <c r="G49" s="19" t="s">
        <v>42</v>
      </c>
      <c r="H49" s="19" t="s">
        <v>189</v>
      </c>
      <c r="I49" s="13">
        <v>2.5000000000000001E-2</v>
      </c>
      <c r="J49" s="11">
        <v>11</v>
      </c>
      <c r="K49" s="13">
        <f>I49*J49</f>
        <v>0.27500000000000002</v>
      </c>
    </row>
    <row r="50" spans="2:11" ht="43.5" x14ac:dyDescent="0.35">
      <c r="B50" s="25" t="s">
        <v>190</v>
      </c>
      <c r="C50" s="23" t="s">
        <v>191</v>
      </c>
      <c r="D50" s="18" t="s">
        <v>192</v>
      </c>
      <c r="E50" s="19" t="s">
        <v>172</v>
      </c>
      <c r="F50" s="19" t="s">
        <v>190</v>
      </c>
      <c r="G50" s="19" t="s">
        <v>114</v>
      </c>
      <c r="H50" s="19" t="s">
        <v>193</v>
      </c>
      <c r="I50" s="13">
        <v>0.13</v>
      </c>
      <c r="J50" s="11">
        <v>1</v>
      </c>
      <c r="K50" s="13">
        <f>I50*J50</f>
        <v>0.13</v>
      </c>
    </row>
    <row r="51" spans="2:11" ht="29" x14ac:dyDescent="0.35">
      <c r="B51" s="25" t="s">
        <v>194</v>
      </c>
      <c r="C51" s="23" t="s">
        <v>195</v>
      </c>
      <c r="D51" s="18" t="s">
        <v>196</v>
      </c>
      <c r="E51" s="19" t="s">
        <v>164</v>
      </c>
      <c r="F51" s="19" t="s">
        <v>194</v>
      </c>
      <c r="G51" s="19"/>
      <c r="H51" s="19"/>
      <c r="I51" s="13"/>
      <c r="J51" s="11">
        <v>1</v>
      </c>
      <c r="K51" s="13"/>
    </row>
    <row r="52" spans="2:11" x14ac:dyDescent="0.35">
      <c r="B52" s="25" t="s">
        <v>197</v>
      </c>
      <c r="C52" s="23" t="s">
        <v>198</v>
      </c>
      <c r="D52" s="18" t="s">
        <v>199</v>
      </c>
      <c r="E52" s="19" t="s">
        <v>164</v>
      </c>
      <c r="F52" s="19" t="s">
        <v>197</v>
      </c>
      <c r="G52" s="19" t="s">
        <v>42</v>
      </c>
      <c r="H52" s="19" t="s">
        <v>200</v>
      </c>
      <c r="I52" s="13">
        <v>0.1</v>
      </c>
      <c r="J52" s="11">
        <v>1</v>
      </c>
      <c r="K52" s="13">
        <f t="shared" ref="K52:K66" si="1">I52*J52</f>
        <v>0.1</v>
      </c>
    </row>
    <row r="53" spans="2:11" ht="29" x14ac:dyDescent="0.35">
      <c r="B53" s="25" t="s">
        <v>201</v>
      </c>
      <c r="C53" s="23" t="s">
        <v>202</v>
      </c>
      <c r="D53" s="18" t="s">
        <v>203</v>
      </c>
      <c r="E53" s="19" t="s">
        <v>188</v>
      </c>
      <c r="F53" s="19" t="s">
        <v>201</v>
      </c>
      <c r="G53" s="19" t="s">
        <v>42</v>
      </c>
      <c r="H53" s="19" t="s">
        <v>204</v>
      </c>
      <c r="I53" s="13">
        <v>0.1</v>
      </c>
      <c r="J53" s="11">
        <v>1</v>
      </c>
      <c r="K53" s="13">
        <f t="shared" si="1"/>
        <v>0.1</v>
      </c>
    </row>
    <row r="54" spans="2:11" ht="29" x14ac:dyDescent="0.35">
      <c r="B54" s="25" t="s">
        <v>205</v>
      </c>
      <c r="C54" s="23" t="s">
        <v>206</v>
      </c>
      <c r="D54" s="18" t="s">
        <v>207</v>
      </c>
      <c r="E54" s="19" t="s">
        <v>188</v>
      </c>
      <c r="F54" s="19" t="s">
        <v>205</v>
      </c>
      <c r="G54" s="19" t="s">
        <v>42</v>
      </c>
      <c r="H54" s="19" t="s">
        <v>208</v>
      </c>
      <c r="I54" s="13">
        <v>0.1</v>
      </c>
      <c r="J54" s="11">
        <v>1</v>
      </c>
      <c r="K54" s="13">
        <f t="shared" si="1"/>
        <v>0.1</v>
      </c>
    </row>
    <row r="55" spans="2:11" ht="29" x14ac:dyDescent="0.35">
      <c r="B55" s="25" t="s">
        <v>209</v>
      </c>
      <c r="C55" s="23" t="s">
        <v>210</v>
      </c>
      <c r="D55" s="18" t="s">
        <v>211</v>
      </c>
      <c r="E55" s="19" t="s">
        <v>164</v>
      </c>
      <c r="F55" s="19" t="s">
        <v>209</v>
      </c>
      <c r="G55" s="19" t="s">
        <v>42</v>
      </c>
      <c r="H55" s="19" t="s">
        <v>212</v>
      </c>
      <c r="I55" s="13">
        <v>0.12</v>
      </c>
      <c r="J55" s="11">
        <v>1</v>
      </c>
      <c r="K55" s="13">
        <f t="shared" si="1"/>
        <v>0.12</v>
      </c>
    </row>
    <row r="56" spans="2:11" x14ac:dyDescent="0.35">
      <c r="B56" s="25" t="s">
        <v>213</v>
      </c>
      <c r="C56" s="23" t="s">
        <v>213</v>
      </c>
      <c r="D56" s="18" t="s">
        <v>214</v>
      </c>
      <c r="E56" s="19" t="s">
        <v>164</v>
      </c>
      <c r="F56" s="19" t="s">
        <v>215</v>
      </c>
      <c r="G56" s="19" t="s">
        <v>216</v>
      </c>
      <c r="H56" s="19" t="s">
        <v>217</v>
      </c>
      <c r="I56" s="13">
        <v>0.22</v>
      </c>
      <c r="J56" s="11">
        <v>1</v>
      </c>
      <c r="K56" s="13">
        <f t="shared" si="1"/>
        <v>0.22</v>
      </c>
    </row>
    <row r="57" spans="2:11" x14ac:dyDescent="0.35">
      <c r="B57" s="25" t="s">
        <v>218</v>
      </c>
      <c r="C57" s="23" t="s">
        <v>218</v>
      </c>
      <c r="D57" s="18" t="s">
        <v>219</v>
      </c>
      <c r="E57" s="19" t="s">
        <v>164</v>
      </c>
      <c r="F57" s="19" t="s">
        <v>220</v>
      </c>
      <c r="G57" s="19" t="s">
        <v>216</v>
      </c>
      <c r="H57" s="19" t="s">
        <v>221</v>
      </c>
      <c r="I57" s="13">
        <v>0.1</v>
      </c>
      <c r="J57" s="11">
        <v>1</v>
      </c>
      <c r="K57" s="13">
        <f t="shared" si="1"/>
        <v>0.1</v>
      </c>
    </row>
    <row r="58" spans="2:11" x14ac:dyDescent="0.35">
      <c r="B58" s="25" t="s">
        <v>222</v>
      </c>
      <c r="C58" s="23" t="s">
        <v>222</v>
      </c>
      <c r="D58" s="18" t="s">
        <v>223</v>
      </c>
      <c r="E58" s="19" t="s">
        <v>164</v>
      </c>
      <c r="F58" s="19" t="s">
        <v>224</v>
      </c>
      <c r="G58" s="19" t="s">
        <v>216</v>
      </c>
      <c r="H58" s="19" t="s">
        <v>225</v>
      </c>
      <c r="I58" s="13">
        <v>0.23</v>
      </c>
      <c r="J58" s="11">
        <v>1</v>
      </c>
      <c r="K58" s="13">
        <f t="shared" si="1"/>
        <v>0.23</v>
      </c>
    </row>
    <row r="59" spans="2:11" x14ac:dyDescent="0.35">
      <c r="B59" s="25" t="s">
        <v>226</v>
      </c>
      <c r="C59" s="23" t="s">
        <v>226</v>
      </c>
      <c r="D59" s="18" t="s">
        <v>227</v>
      </c>
      <c r="E59" s="19" t="s">
        <v>164</v>
      </c>
      <c r="F59" s="19" t="s">
        <v>228</v>
      </c>
      <c r="G59" s="19" t="s">
        <v>42</v>
      </c>
      <c r="H59" s="19" t="s">
        <v>229</v>
      </c>
      <c r="I59" s="13">
        <v>0.22</v>
      </c>
      <c r="J59" s="11">
        <v>1</v>
      </c>
      <c r="K59" s="13">
        <f t="shared" si="1"/>
        <v>0.22</v>
      </c>
    </row>
    <row r="60" spans="2:11" x14ac:dyDescent="0.35">
      <c r="B60" s="25" t="s">
        <v>230</v>
      </c>
      <c r="C60" s="23" t="s">
        <v>230</v>
      </c>
      <c r="D60" s="18" t="s">
        <v>231</v>
      </c>
      <c r="E60" s="19" t="s">
        <v>164</v>
      </c>
      <c r="F60" s="19" t="s">
        <v>232</v>
      </c>
      <c r="G60" s="19" t="s">
        <v>42</v>
      </c>
      <c r="H60" s="19" t="s">
        <v>233</v>
      </c>
      <c r="I60" s="13">
        <v>0.22</v>
      </c>
      <c r="J60" s="11">
        <v>1</v>
      </c>
      <c r="K60" s="13">
        <f t="shared" si="1"/>
        <v>0.22</v>
      </c>
    </row>
    <row r="61" spans="2:11" ht="43.5" x14ac:dyDescent="0.35">
      <c r="B61" s="25" t="s">
        <v>234</v>
      </c>
      <c r="C61" s="23" t="s">
        <v>235</v>
      </c>
      <c r="D61" s="18" t="s">
        <v>236</v>
      </c>
      <c r="E61" s="19" t="s">
        <v>164</v>
      </c>
      <c r="F61" s="19" t="s">
        <v>234</v>
      </c>
      <c r="G61" s="19" t="s">
        <v>42</v>
      </c>
      <c r="H61" s="19" t="s">
        <v>237</v>
      </c>
      <c r="I61" s="13">
        <v>0.1</v>
      </c>
      <c r="J61" s="11">
        <v>2</v>
      </c>
      <c r="K61" s="13">
        <f t="shared" si="1"/>
        <v>0.2</v>
      </c>
    </row>
    <row r="62" spans="2:11" ht="29" x14ac:dyDescent="0.35">
      <c r="B62" s="25" t="s">
        <v>238</v>
      </c>
      <c r="C62" s="23" t="s">
        <v>239</v>
      </c>
      <c r="D62" s="18" t="s">
        <v>240</v>
      </c>
      <c r="E62" s="19" t="s">
        <v>164</v>
      </c>
      <c r="F62" s="19" t="s">
        <v>238</v>
      </c>
      <c r="G62" s="19" t="s">
        <v>42</v>
      </c>
      <c r="H62" s="19" t="s">
        <v>241</v>
      </c>
      <c r="I62" s="13">
        <v>0.1</v>
      </c>
      <c r="J62" s="11">
        <v>3</v>
      </c>
      <c r="K62" s="13">
        <f t="shared" si="1"/>
        <v>0.30000000000000004</v>
      </c>
    </row>
    <row r="63" spans="2:11" ht="43.5" x14ac:dyDescent="0.35">
      <c r="B63" s="25" t="s">
        <v>242</v>
      </c>
      <c r="C63" s="23" t="s">
        <v>243</v>
      </c>
      <c r="D63" s="18" t="s">
        <v>244</v>
      </c>
      <c r="E63" s="19" t="s">
        <v>172</v>
      </c>
      <c r="F63" s="19" t="s">
        <v>242</v>
      </c>
      <c r="G63" s="19" t="s">
        <v>42</v>
      </c>
      <c r="H63" s="19" t="s">
        <v>245</v>
      </c>
      <c r="I63" s="13">
        <v>0.13</v>
      </c>
      <c r="J63" s="11">
        <v>2</v>
      </c>
      <c r="K63" s="13">
        <f t="shared" si="1"/>
        <v>0.26</v>
      </c>
    </row>
    <row r="64" spans="2:11" ht="43.5" x14ac:dyDescent="0.35">
      <c r="B64" s="25" t="s">
        <v>246</v>
      </c>
      <c r="C64" s="23" t="s">
        <v>247</v>
      </c>
      <c r="D64" s="18" t="s">
        <v>248</v>
      </c>
      <c r="E64" s="19" t="s">
        <v>164</v>
      </c>
      <c r="F64" s="19" t="s">
        <v>246</v>
      </c>
      <c r="G64" s="19" t="s">
        <v>42</v>
      </c>
      <c r="H64" s="19" t="s">
        <v>249</v>
      </c>
      <c r="I64" s="13">
        <v>0.1</v>
      </c>
      <c r="J64" s="11">
        <v>1</v>
      </c>
      <c r="K64" s="13">
        <f t="shared" si="1"/>
        <v>0.1</v>
      </c>
    </row>
    <row r="65" spans="2:11" ht="29" x14ac:dyDescent="0.35">
      <c r="B65" s="25" t="s">
        <v>250</v>
      </c>
      <c r="C65" s="23" t="s">
        <v>251</v>
      </c>
      <c r="D65" s="18" t="s">
        <v>252</v>
      </c>
      <c r="E65" s="19" t="s">
        <v>164</v>
      </c>
      <c r="F65" s="19" t="s">
        <v>250</v>
      </c>
      <c r="G65" s="19" t="s">
        <v>42</v>
      </c>
      <c r="H65" s="19" t="s">
        <v>253</v>
      </c>
      <c r="I65" s="13">
        <v>0.1</v>
      </c>
      <c r="J65" s="11">
        <v>2</v>
      </c>
      <c r="K65" s="13">
        <f t="shared" si="1"/>
        <v>0.2</v>
      </c>
    </row>
    <row r="66" spans="2:11" ht="29" x14ac:dyDescent="0.35">
      <c r="B66" s="25" t="s">
        <v>254</v>
      </c>
      <c r="C66" s="23" t="s">
        <v>255</v>
      </c>
      <c r="D66" s="18" t="s">
        <v>256</v>
      </c>
      <c r="E66" s="19" t="s">
        <v>188</v>
      </c>
      <c r="F66" s="19" t="s">
        <v>254</v>
      </c>
      <c r="G66" s="19" t="s">
        <v>42</v>
      </c>
      <c r="H66" s="19" t="s">
        <v>257</v>
      </c>
      <c r="I66" s="13">
        <v>1.7000000000000001E-2</v>
      </c>
      <c r="J66" s="11">
        <v>4</v>
      </c>
      <c r="K66" s="13">
        <f t="shared" si="1"/>
        <v>6.8000000000000005E-2</v>
      </c>
    </row>
    <row r="67" spans="2:11" ht="43.5" x14ac:dyDescent="0.35">
      <c r="B67" s="25" t="s">
        <v>258</v>
      </c>
      <c r="C67" s="23" t="s">
        <v>259</v>
      </c>
      <c r="D67" s="18" t="s">
        <v>260</v>
      </c>
      <c r="E67" s="19" t="s">
        <v>172</v>
      </c>
      <c r="F67" s="19" t="s">
        <v>258</v>
      </c>
      <c r="G67" s="19"/>
      <c r="H67" s="19"/>
      <c r="I67" s="13"/>
      <c r="J67" s="11">
        <v>1</v>
      </c>
      <c r="K67" s="13"/>
    </row>
    <row r="68" spans="2:11" ht="29" x14ac:dyDescent="0.35">
      <c r="B68" s="25" t="s">
        <v>261</v>
      </c>
      <c r="C68" s="23" t="s">
        <v>262</v>
      </c>
      <c r="D68" s="18" t="s">
        <v>263</v>
      </c>
      <c r="E68" s="19" t="s">
        <v>164</v>
      </c>
      <c r="F68" s="19" t="s">
        <v>261</v>
      </c>
      <c r="G68" s="19" t="s">
        <v>42</v>
      </c>
      <c r="H68" s="19" t="s">
        <v>264</v>
      </c>
      <c r="I68" s="13">
        <v>0.1</v>
      </c>
      <c r="J68" s="11">
        <v>1</v>
      </c>
      <c r="K68" s="13">
        <f>I68*J68</f>
        <v>0.1</v>
      </c>
    </row>
    <row r="69" spans="2:11" x14ac:dyDescent="0.35">
      <c r="B69" s="25" t="s">
        <v>265</v>
      </c>
      <c r="C69" s="23" t="s">
        <v>265</v>
      </c>
      <c r="D69" s="18" t="s">
        <v>266</v>
      </c>
      <c r="E69" s="19" t="s">
        <v>164</v>
      </c>
      <c r="F69" s="19" t="s">
        <v>267</v>
      </c>
      <c r="G69" s="19" t="s">
        <v>42</v>
      </c>
      <c r="H69" s="19" t="s">
        <v>268</v>
      </c>
      <c r="I69" s="13"/>
      <c r="J69" s="11">
        <v>4</v>
      </c>
      <c r="K69" s="13"/>
    </row>
    <row r="70" spans="2:11" ht="29" x14ac:dyDescent="0.35">
      <c r="B70" s="25" t="s">
        <v>269</v>
      </c>
      <c r="C70" s="23" t="s">
        <v>270</v>
      </c>
      <c r="D70" s="18" t="s">
        <v>271</v>
      </c>
      <c r="E70" s="19" t="s">
        <v>188</v>
      </c>
      <c r="F70" s="19" t="s">
        <v>269</v>
      </c>
      <c r="G70" s="19" t="s">
        <v>34</v>
      </c>
      <c r="H70" s="19" t="s">
        <v>269</v>
      </c>
      <c r="I70" s="13">
        <v>4.0000000000000001E-3</v>
      </c>
      <c r="J70" s="11">
        <v>1</v>
      </c>
      <c r="K70" s="13">
        <f t="shared" ref="K70:K74" si="2">I70*J70</f>
        <v>4.0000000000000001E-3</v>
      </c>
    </row>
    <row r="71" spans="2:11" ht="43.5" x14ac:dyDescent="0.35">
      <c r="B71" s="25" t="s">
        <v>272</v>
      </c>
      <c r="C71" s="23" t="s">
        <v>273</v>
      </c>
      <c r="D71" s="18" t="s">
        <v>274</v>
      </c>
      <c r="E71" s="19" t="s">
        <v>164</v>
      </c>
      <c r="F71" s="19" t="s">
        <v>272</v>
      </c>
      <c r="G71" s="19" t="s">
        <v>42</v>
      </c>
      <c r="H71" s="19" t="s">
        <v>275</v>
      </c>
      <c r="I71" s="13">
        <v>0.1</v>
      </c>
      <c r="J71" s="11">
        <v>1</v>
      </c>
      <c r="K71" s="13">
        <f t="shared" si="2"/>
        <v>0.1</v>
      </c>
    </row>
    <row r="72" spans="2:11" ht="29" x14ac:dyDescent="0.35">
      <c r="B72" s="25" t="s">
        <v>276</v>
      </c>
      <c r="C72" s="23" t="s">
        <v>277</v>
      </c>
      <c r="D72" s="18" t="s">
        <v>278</v>
      </c>
      <c r="E72" s="19" t="s">
        <v>164</v>
      </c>
      <c r="F72" s="19" t="s">
        <v>276</v>
      </c>
      <c r="G72" s="19" t="s">
        <v>216</v>
      </c>
      <c r="H72" s="19" t="s">
        <v>279</v>
      </c>
      <c r="I72" s="13">
        <v>0.1</v>
      </c>
      <c r="J72" s="11">
        <v>1</v>
      </c>
      <c r="K72" s="13">
        <f t="shared" si="2"/>
        <v>0.1</v>
      </c>
    </row>
    <row r="73" spans="2:11" ht="101.5" x14ac:dyDescent="0.35">
      <c r="B73" s="25" t="s">
        <v>280</v>
      </c>
      <c r="C73" s="23" t="s">
        <v>281</v>
      </c>
      <c r="D73" s="18" t="s">
        <v>282</v>
      </c>
      <c r="E73" s="19" t="s">
        <v>283</v>
      </c>
      <c r="F73" s="19" t="s">
        <v>280</v>
      </c>
      <c r="G73" s="19" t="s">
        <v>34</v>
      </c>
      <c r="H73" s="19" t="s">
        <v>280</v>
      </c>
      <c r="I73" s="13">
        <v>0.49359999999999998</v>
      </c>
      <c r="J73" s="11">
        <v>1</v>
      </c>
      <c r="K73" s="13">
        <f t="shared" si="2"/>
        <v>0.49359999999999998</v>
      </c>
    </row>
    <row r="74" spans="2:11" ht="29" x14ac:dyDescent="0.35">
      <c r="B74" s="25" t="s">
        <v>284</v>
      </c>
      <c r="C74" s="23" t="s">
        <v>285</v>
      </c>
      <c r="D74" s="18" t="s">
        <v>286</v>
      </c>
      <c r="E74" s="19" t="s">
        <v>287</v>
      </c>
      <c r="F74" s="19" t="s">
        <v>288</v>
      </c>
      <c r="G74" s="19" t="s">
        <v>42</v>
      </c>
      <c r="H74" s="19" t="s">
        <v>289</v>
      </c>
      <c r="I74" s="13">
        <v>1</v>
      </c>
      <c r="J74" s="11">
        <v>1</v>
      </c>
      <c r="K74" s="13">
        <f t="shared" si="2"/>
        <v>1</v>
      </c>
    </row>
    <row r="75" spans="2:11" ht="43.5" x14ac:dyDescent="0.35">
      <c r="B75" s="25" t="s">
        <v>290</v>
      </c>
      <c r="C75" s="23" t="s">
        <v>291</v>
      </c>
      <c r="D75" s="18" t="s">
        <v>292</v>
      </c>
      <c r="E75" s="19" t="s">
        <v>293</v>
      </c>
      <c r="F75" s="19" t="s">
        <v>290</v>
      </c>
      <c r="G75" s="19"/>
      <c r="H75" s="19"/>
      <c r="I75" s="13"/>
      <c r="J75" s="11">
        <v>1</v>
      </c>
      <c r="K75" s="13"/>
    </row>
    <row r="76" spans="2:11" ht="29" x14ac:dyDescent="0.35">
      <c r="B76" s="25" t="s">
        <v>294</v>
      </c>
      <c r="C76" s="23" t="s">
        <v>295</v>
      </c>
      <c r="D76" s="18" t="s">
        <v>296</v>
      </c>
      <c r="E76" s="19" t="s">
        <v>297</v>
      </c>
      <c r="F76" s="19" t="s">
        <v>298</v>
      </c>
      <c r="G76" s="19" t="s">
        <v>42</v>
      </c>
      <c r="H76" s="19" t="s">
        <v>299</v>
      </c>
      <c r="I76" s="13">
        <v>14.01</v>
      </c>
      <c r="J76" s="11">
        <v>1</v>
      </c>
      <c r="K76" s="13">
        <f>I76*J76</f>
        <v>14.01</v>
      </c>
    </row>
    <row r="77" spans="2:11" ht="43.5" x14ac:dyDescent="0.35">
      <c r="B77" s="25" t="s">
        <v>300</v>
      </c>
      <c r="C77" s="23" t="s">
        <v>301</v>
      </c>
      <c r="D77" s="18" t="s">
        <v>302</v>
      </c>
      <c r="E77" s="19" t="s">
        <v>303</v>
      </c>
      <c r="F77" s="19" t="s">
        <v>304</v>
      </c>
      <c r="G77" s="19" t="s">
        <v>42</v>
      </c>
      <c r="H77" s="19" t="s">
        <v>305</v>
      </c>
      <c r="I77" s="13">
        <v>5.93</v>
      </c>
      <c r="J77" s="11">
        <v>1</v>
      </c>
      <c r="K77" s="13">
        <f>I77*J77</f>
        <v>5.93</v>
      </c>
    </row>
    <row r="78" spans="2:11" ht="43.5" x14ac:dyDescent="0.35">
      <c r="B78" s="25" t="s">
        <v>306</v>
      </c>
      <c r="C78" s="23" t="s">
        <v>307</v>
      </c>
      <c r="D78" s="18" t="s">
        <v>308</v>
      </c>
      <c r="E78" s="19" t="s">
        <v>293</v>
      </c>
      <c r="F78" s="19" t="s">
        <v>306</v>
      </c>
      <c r="G78" s="19"/>
      <c r="H78" s="19"/>
      <c r="I78" s="13"/>
      <c r="J78" s="11">
        <v>1</v>
      </c>
      <c r="K78" s="13"/>
    </row>
    <row r="79" spans="2:11" ht="43.5" x14ac:dyDescent="0.35">
      <c r="B79" s="25" t="s">
        <v>309</v>
      </c>
      <c r="C79" s="23" t="s">
        <v>310</v>
      </c>
      <c r="D79" s="18" t="s">
        <v>311</v>
      </c>
      <c r="E79" s="19" t="s">
        <v>312</v>
      </c>
      <c r="F79" s="19" t="s">
        <v>313</v>
      </c>
      <c r="G79" s="19" t="s">
        <v>34</v>
      </c>
      <c r="H79" s="19" t="s">
        <v>309</v>
      </c>
      <c r="I79" s="13">
        <v>0.1391</v>
      </c>
      <c r="J79" s="11">
        <v>1</v>
      </c>
      <c r="K79" s="13">
        <f>I79*J79</f>
        <v>0.1391</v>
      </c>
    </row>
    <row r="80" spans="2:11" ht="29" x14ac:dyDescent="0.35">
      <c r="B80" s="25" t="s">
        <v>314</v>
      </c>
      <c r="C80" s="23" t="s">
        <v>315</v>
      </c>
      <c r="D80" s="18" t="s">
        <v>316</v>
      </c>
      <c r="E80" s="19" t="s">
        <v>317</v>
      </c>
      <c r="F80" s="19" t="s">
        <v>314</v>
      </c>
      <c r="G80" s="19" t="s">
        <v>148</v>
      </c>
      <c r="H80" s="19" t="s">
        <v>318</v>
      </c>
      <c r="I80" s="13"/>
      <c r="J80" s="11">
        <v>1</v>
      </c>
      <c r="K80" s="13"/>
    </row>
    <row r="81" spans="2:11" ht="58" x14ac:dyDescent="0.35">
      <c r="B81" s="25" t="s">
        <v>319</v>
      </c>
      <c r="C81" s="23" t="s">
        <v>320</v>
      </c>
      <c r="D81" s="18" t="s">
        <v>321</v>
      </c>
      <c r="E81" s="19" t="s">
        <v>322</v>
      </c>
      <c r="F81" s="19" t="s">
        <v>319</v>
      </c>
      <c r="G81" s="19" t="s">
        <v>42</v>
      </c>
      <c r="H81" s="19" t="s">
        <v>323</v>
      </c>
      <c r="I81" s="13">
        <v>11.24</v>
      </c>
      <c r="J81" s="11">
        <v>1</v>
      </c>
      <c r="K81" s="13">
        <f>I81*J81</f>
        <v>11.24</v>
      </c>
    </row>
    <row r="82" spans="2:11" ht="43.5" x14ac:dyDescent="0.35">
      <c r="B82" s="25" t="s">
        <v>324</v>
      </c>
      <c r="C82" s="23" t="s">
        <v>325</v>
      </c>
      <c r="D82" s="18" t="s">
        <v>326</v>
      </c>
      <c r="E82" s="19" t="s">
        <v>293</v>
      </c>
      <c r="F82" s="19" t="s">
        <v>324</v>
      </c>
      <c r="G82" s="19" t="s">
        <v>42</v>
      </c>
      <c r="H82" s="19" t="s">
        <v>327</v>
      </c>
      <c r="I82" s="13">
        <v>2.74</v>
      </c>
      <c r="J82" s="11">
        <v>2</v>
      </c>
      <c r="K82" s="13">
        <f>I82*J82</f>
        <v>5.48</v>
      </c>
    </row>
    <row r="83" spans="2:11" ht="58" x14ac:dyDescent="0.35">
      <c r="B83" s="25" t="s">
        <v>328</v>
      </c>
      <c r="C83" s="23" t="s">
        <v>329</v>
      </c>
      <c r="D83" s="18" t="s">
        <v>330</v>
      </c>
      <c r="E83" s="19" t="s">
        <v>293</v>
      </c>
      <c r="F83" s="19" t="s">
        <v>328</v>
      </c>
      <c r="G83" s="19" t="s">
        <v>42</v>
      </c>
      <c r="H83" s="19" t="s">
        <v>331</v>
      </c>
      <c r="I83" s="13">
        <v>0.55000000000000004</v>
      </c>
      <c r="J83" s="11">
        <v>1</v>
      </c>
      <c r="K83" s="13">
        <f>I83*J83</f>
        <v>0.55000000000000004</v>
      </c>
    </row>
    <row r="84" spans="2:11" ht="43.5" x14ac:dyDescent="0.35">
      <c r="B84" s="25" t="s">
        <v>332</v>
      </c>
      <c r="C84" s="23" t="s">
        <v>333</v>
      </c>
      <c r="D84" s="18" t="s">
        <v>334</v>
      </c>
      <c r="E84" s="19" t="s">
        <v>335</v>
      </c>
      <c r="F84" s="19" t="s">
        <v>336</v>
      </c>
      <c r="G84" s="19" t="s">
        <v>335</v>
      </c>
      <c r="H84" s="19" t="s">
        <v>337</v>
      </c>
      <c r="I84" s="13"/>
      <c r="J84" s="11">
        <v>1</v>
      </c>
      <c r="K84" s="13">
        <f>I84*J84</f>
        <v>0</v>
      </c>
    </row>
    <row r="85" spans="2:11" x14ac:dyDescent="0.35">
      <c r="B85" s="26"/>
      <c r="C85" s="8"/>
      <c r="D85" s="8"/>
      <c r="E85" s="12"/>
      <c r="F85" s="12"/>
      <c r="G85" s="12"/>
      <c r="H85" s="12"/>
      <c r="I85" s="14"/>
      <c r="J85" s="12">
        <f>SUM(J13:J84)</f>
        <v>123</v>
      </c>
      <c r="K85" s="13">
        <f>SUM(K13:K84)</f>
        <v>57.23790000000001</v>
      </c>
    </row>
    <row r="86" spans="2:11" x14ac:dyDescent="0.35">
      <c r="B86" s="25"/>
      <c r="C86" s="23"/>
      <c r="D86" s="18"/>
      <c r="E86" s="19"/>
      <c r="F86" s="19"/>
      <c r="G86" s="19"/>
      <c r="H86" s="19"/>
      <c r="I86" s="13"/>
      <c r="J86" s="11"/>
      <c r="K86" s="5"/>
    </row>
    <row r="87" spans="2:11" x14ac:dyDescent="0.35">
      <c r="B87" s="24" t="s">
        <v>338</v>
      </c>
      <c r="C87" s="15"/>
      <c r="D87" s="4" t="s">
        <v>339</v>
      </c>
      <c r="E87" s="4"/>
      <c r="F87" s="4"/>
      <c r="G87" s="4"/>
      <c r="H87" s="4"/>
      <c r="I87" s="4"/>
      <c r="J87" s="15"/>
    </row>
    <row r="88" spans="2:11" x14ac:dyDescent="0.35">
      <c r="B88" s="25"/>
      <c r="C88" s="23"/>
      <c r="D88" s="18"/>
      <c r="E88" s="19"/>
      <c r="F88" s="19"/>
      <c r="G88" s="19"/>
      <c r="H88" s="19"/>
      <c r="I88" s="13"/>
      <c r="J88" s="11"/>
      <c r="K88" s="5"/>
    </row>
    <row r="89" spans="2:11" x14ac:dyDescent="0.35">
      <c r="B89" s="25"/>
      <c r="C89" s="23"/>
      <c r="D89" s="18"/>
      <c r="E89" s="19"/>
      <c r="F89" s="19"/>
      <c r="G89" s="19"/>
      <c r="H89" s="19"/>
      <c r="I89" s="13"/>
      <c r="J89" s="11"/>
      <c r="K89" s="5"/>
    </row>
    <row r="90" spans="2:11" x14ac:dyDescent="0.35">
      <c r="B90" s="25"/>
      <c r="C90" s="23"/>
      <c r="D90" s="18"/>
      <c r="E90" s="19"/>
      <c r="F90" s="19"/>
      <c r="G90" s="19"/>
      <c r="H90" s="19"/>
      <c r="I90" s="13"/>
      <c r="J90" s="11"/>
      <c r="K90" s="5"/>
    </row>
    <row r="91" spans="2:11" x14ac:dyDescent="0.35">
      <c r="B91" s="25"/>
      <c r="C91" s="23"/>
      <c r="D91" s="18"/>
      <c r="E91" s="19"/>
      <c r="F91" s="19"/>
      <c r="G91" s="19"/>
      <c r="H91" s="19"/>
      <c r="I91" s="13"/>
      <c r="J91" s="11"/>
      <c r="K91" s="5"/>
    </row>
    <row r="92" spans="2:11" x14ac:dyDescent="0.35">
      <c r="B92" s="25"/>
      <c r="C92" s="23"/>
      <c r="D92" s="18"/>
      <c r="E92" s="19"/>
      <c r="F92" s="19"/>
      <c r="G92" s="19"/>
      <c r="H92" s="19"/>
      <c r="I92" s="13"/>
      <c r="J92" s="11"/>
      <c r="K92" s="5"/>
    </row>
    <row r="93" spans="2:11" ht="15" customHeight="1" thickBot="1" x14ac:dyDescent="0.4">
      <c r="B93" s="26"/>
      <c r="C93" s="8"/>
      <c r="D93" s="8"/>
      <c r="E93" s="12"/>
      <c r="F93" s="12"/>
      <c r="G93" s="12"/>
      <c r="H93" s="12"/>
      <c r="I93" s="14"/>
      <c r="J93" s="12"/>
      <c r="K93" s="5"/>
    </row>
    <row r="94" spans="2:11" ht="15" customHeight="1" thickBot="1" x14ac:dyDescent="0.4">
      <c r="J94" s="4"/>
    </row>
    <row r="95" spans="2:11" x14ac:dyDescent="0.35">
      <c r="B95" s="24"/>
      <c r="C95" s="15"/>
      <c r="D95" s="4"/>
      <c r="E95" s="4"/>
      <c r="F95" s="4"/>
      <c r="G95" s="4"/>
      <c r="H95" s="4"/>
      <c r="I95" s="4"/>
      <c r="J95" s="15"/>
    </row>
    <row r="96" spans="2:11" x14ac:dyDescent="0.35">
      <c r="B96" s="5"/>
      <c r="C96" s="16"/>
      <c r="J96" s="16"/>
    </row>
    <row r="97" spans="2:10" x14ac:dyDescent="0.35">
      <c r="B97" s="5"/>
      <c r="C97" s="16"/>
      <c r="J97" s="16"/>
    </row>
    <row r="98" spans="2:10" x14ac:dyDescent="0.35">
      <c r="B98" s="5"/>
      <c r="C98" s="16"/>
      <c r="J98" s="16"/>
    </row>
    <row r="99" spans="2:10" x14ac:dyDescent="0.35">
      <c r="B99" s="5"/>
      <c r="C99" s="16"/>
      <c r="J99" s="16"/>
    </row>
    <row r="100" spans="2:10" ht="15" customHeight="1" thickBot="1" x14ac:dyDescent="0.4">
      <c r="B100" s="7"/>
      <c r="C100" s="17"/>
      <c r="D100" s="8"/>
      <c r="E100" s="8"/>
      <c r="F100" s="8"/>
      <c r="G100" s="8"/>
      <c r="H100" s="8"/>
      <c r="I100" s="8"/>
      <c r="J100" s="17"/>
    </row>
  </sheetData>
  <hyperlinks>
    <hyperlink ref="H5" r:id="rId1" xr:uid="{00000000-0004-0000-0000-000000000000}"/>
    <hyperlink ref="I5" r:id="rId2" xr:uid="{00000000-0004-0000-0000-000001000000}"/>
    <hyperlink ref="I6" r:id="rId3" xr:uid="{00000000-0004-0000-0000-000002000000}"/>
  </hyperlinks>
  <pageMargins left="0.25" right="0.25" top="0.75" bottom="0.75" header="0.3" footer="0.3"/>
  <pageSetup scale="85"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FOURNIER Geoffrey</cp:lastModifiedBy>
  <cp:lastPrinted>2014-01-09T23:24:28Z</cp:lastPrinted>
  <dcterms:created xsi:type="dcterms:W3CDTF">2013-12-31T18:23:59Z</dcterms:created>
  <dcterms:modified xsi:type="dcterms:W3CDTF">2026-09-03T14:17:02Z</dcterms:modified>
</cp:coreProperties>
</file>